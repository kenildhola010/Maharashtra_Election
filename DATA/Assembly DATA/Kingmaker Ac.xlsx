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Neubrain\Election Maharashtra\"/>
    </mc:Choice>
  </mc:AlternateContent>
  <xr:revisionPtr revIDLastSave="0" documentId="13_ncr:1_{9C980C65-F752-4DEF-8DFB-4DA29D7CCF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4" i="1" l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93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94" i="1"/>
  <c r="O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93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94" i="1"/>
  <c r="F93" i="1"/>
  <c r="U192" i="1"/>
  <c r="U100" i="1"/>
  <c r="U6" i="1"/>
  <c r="U101" i="1"/>
  <c r="U193" i="1"/>
  <c r="U102" i="1"/>
  <c r="U7" i="1"/>
  <c r="U103" i="1"/>
  <c r="U194" i="1"/>
  <c r="U104" i="1"/>
  <c r="U195" i="1"/>
  <c r="U8" i="1"/>
  <c r="U9" i="1"/>
  <c r="U10" i="1"/>
  <c r="U105" i="1"/>
  <c r="U106" i="1"/>
  <c r="U196" i="1"/>
  <c r="U11" i="1"/>
  <c r="U197" i="1"/>
  <c r="U12" i="1"/>
  <c r="U107" i="1"/>
  <c r="U198" i="1"/>
  <c r="U13" i="1"/>
  <c r="U108" i="1"/>
  <c r="U109" i="1"/>
  <c r="U14" i="1"/>
  <c r="U110" i="1"/>
  <c r="U199" i="1"/>
  <c r="U15" i="1"/>
  <c r="U16" i="1"/>
  <c r="U111" i="1"/>
  <c r="U200" i="1"/>
  <c r="U112" i="1"/>
  <c r="U201" i="1"/>
  <c r="U113" i="1"/>
  <c r="U114" i="1"/>
  <c r="U115" i="1"/>
  <c r="U116" i="1"/>
  <c r="U117" i="1"/>
  <c r="U202" i="1"/>
  <c r="U17" i="1"/>
  <c r="U118" i="1"/>
  <c r="U119" i="1"/>
  <c r="U120" i="1"/>
  <c r="U203" i="1"/>
  <c r="U121" i="1"/>
  <c r="U204" i="1"/>
  <c r="U18" i="1"/>
  <c r="U205" i="1"/>
  <c r="U122" i="1"/>
  <c r="U206" i="1"/>
  <c r="U19" i="1"/>
  <c r="U20" i="1"/>
  <c r="U123" i="1"/>
  <c r="U207" i="1"/>
  <c r="U124" i="1"/>
  <c r="U208" i="1"/>
  <c r="U209" i="1"/>
  <c r="U21" i="1"/>
  <c r="U125" i="1"/>
  <c r="U126" i="1"/>
  <c r="U127" i="1"/>
  <c r="U210" i="1"/>
  <c r="U128" i="1"/>
  <c r="U22" i="1"/>
  <c r="U129" i="1"/>
  <c r="U23" i="1"/>
  <c r="U211" i="1"/>
  <c r="U130" i="1"/>
  <c r="U212" i="1"/>
  <c r="U24" i="1"/>
  <c r="U131" i="1"/>
  <c r="U25" i="1"/>
  <c r="U132" i="1"/>
  <c r="U133" i="1"/>
  <c r="U213" i="1"/>
  <c r="U26" i="1"/>
  <c r="U134" i="1"/>
  <c r="U214" i="1"/>
  <c r="U27" i="1"/>
  <c r="U28" i="1"/>
  <c r="U135" i="1"/>
  <c r="U215" i="1"/>
  <c r="U29" i="1"/>
  <c r="U136" i="1"/>
  <c r="U137" i="1"/>
  <c r="U30" i="1"/>
  <c r="U138" i="1"/>
  <c r="U31" i="1"/>
  <c r="U139" i="1"/>
  <c r="U216" i="1"/>
  <c r="U140" i="1"/>
  <c r="U32" i="1"/>
  <c r="U141" i="1"/>
  <c r="U33" i="1"/>
  <c r="U142" i="1"/>
  <c r="U34" i="1"/>
  <c r="U143" i="1"/>
  <c r="U35" i="1"/>
  <c r="U36" i="1"/>
  <c r="U144" i="1"/>
  <c r="U145" i="1"/>
  <c r="U37" i="1"/>
  <c r="U217" i="1"/>
  <c r="U218" i="1"/>
  <c r="U146" i="1"/>
  <c r="U38" i="1"/>
  <c r="U219" i="1"/>
  <c r="U39" i="1"/>
  <c r="U40" i="1"/>
  <c r="U220" i="1"/>
  <c r="U41" i="1"/>
  <c r="U147" i="1"/>
  <c r="U42" i="1"/>
  <c r="U148" i="1"/>
  <c r="U43" i="1"/>
  <c r="U44" i="1"/>
  <c r="U45" i="1"/>
  <c r="U46" i="1"/>
  <c r="U149" i="1"/>
  <c r="U47" i="1"/>
  <c r="U48" i="1"/>
  <c r="U49" i="1"/>
  <c r="U221" i="1"/>
  <c r="U50" i="1"/>
  <c r="U150" i="1"/>
  <c r="U51" i="1"/>
  <c r="U52" i="1"/>
  <c r="U53" i="1"/>
  <c r="U151" i="1"/>
  <c r="U222" i="1"/>
  <c r="U54" i="1"/>
  <c r="U55" i="1"/>
  <c r="U56" i="1"/>
  <c r="U152" i="1"/>
  <c r="U57" i="1"/>
  <c r="U58" i="1"/>
  <c r="U153" i="1"/>
  <c r="U223" i="1"/>
  <c r="U59" i="1"/>
  <c r="U154" i="1"/>
  <c r="U60" i="1"/>
  <c r="U61" i="1"/>
  <c r="U155" i="1"/>
  <c r="U156" i="1"/>
  <c r="U224" i="1"/>
  <c r="U62" i="1"/>
  <c r="U63" i="1"/>
  <c r="U157" i="1"/>
  <c r="U64" i="1"/>
  <c r="U225" i="1"/>
  <c r="U65" i="1"/>
  <c r="U66" i="1"/>
  <c r="U158" i="1"/>
  <c r="U67" i="1"/>
  <c r="U68" i="1"/>
  <c r="U159" i="1"/>
  <c r="U160" i="1"/>
  <c r="U69" i="1"/>
  <c r="U226" i="1"/>
  <c r="U161" i="1"/>
  <c r="U162" i="1"/>
  <c r="U70" i="1"/>
  <c r="U71" i="1"/>
  <c r="U163" i="1"/>
  <c r="U72" i="1"/>
  <c r="U73" i="1"/>
  <c r="U164" i="1"/>
  <c r="U74" i="1"/>
  <c r="U165" i="1"/>
  <c r="U75" i="1"/>
  <c r="U76" i="1"/>
  <c r="U77" i="1"/>
  <c r="U166" i="1"/>
  <c r="U78" i="1"/>
  <c r="U79" i="1"/>
  <c r="U167" i="1"/>
  <c r="U168" i="1"/>
  <c r="U80" i="1"/>
  <c r="U169" i="1"/>
  <c r="U81" i="1"/>
  <c r="U170" i="1"/>
  <c r="U82" i="1"/>
  <c r="U171" i="1"/>
  <c r="U227" i="1"/>
  <c r="U172" i="1"/>
  <c r="U173" i="1"/>
  <c r="U83" i="1"/>
  <c r="U174" i="1"/>
  <c r="U84" i="1"/>
  <c r="U175" i="1"/>
  <c r="U228" i="1"/>
  <c r="U229" i="1"/>
  <c r="U176" i="1"/>
  <c r="U177" i="1"/>
  <c r="U85" i="1"/>
  <c r="U230" i="1"/>
  <c r="U86" i="1"/>
  <c r="U178" i="1"/>
  <c r="U231" i="1"/>
  <c r="U179" i="1"/>
  <c r="U232" i="1"/>
  <c r="U87" i="1"/>
  <c r="U88" i="1"/>
  <c r="U180" i="1"/>
  <c r="U181" i="1"/>
  <c r="U182" i="1"/>
  <c r="U89" i="1"/>
  <c r="U90" i="1"/>
  <c r="U91" i="1"/>
  <c r="U233" i="1"/>
  <c r="U183" i="1"/>
  <c r="U184" i="1"/>
  <c r="U92" i="1"/>
  <c r="U185" i="1"/>
  <c r="U234" i="1"/>
  <c r="U186" i="1"/>
  <c r="U235" i="1"/>
  <c r="U187" i="1"/>
  <c r="U188" i="1"/>
  <c r="U2" i="1"/>
  <c r="U189" i="1"/>
  <c r="U94" i="1"/>
  <c r="U95" i="1"/>
  <c r="U3" i="1"/>
  <c r="U96" i="1"/>
  <c r="U190" i="1"/>
  <c r="U4" i="1"/>
  <c r="U97" i="1"/>
  <c r="U191" i="1"/>
  <c r="U98" i="1"/>
  <c r="U5" i="1"/>
  <c r="U99" i="1"/>
  <c r="U93" i="1"/>
</calcChain>
</file>

<file path=xl/sharedStrings.xml><?xml version="1.0" encoding="utf-8"?>
<sst xmlns="http://schemas.openxmlformats.org/spreadsheetml/2006/main" count="1893" uniqueCount="752">
  <si>
    <t>AC No</t>
  </si>
  <si>
    <t>AC Name</t>
  </si>
  <si>
    <t>District</t>
  </si>
  <si>
    <t>Candidate Name</t>
  </si>
  <si>
    <t>No of Votes</t>
  </si>
  <si>
    <t>Percentage of Votes</t>
  </si>
  <si>
    <t>Party Name</t>
  </si>
  <si>
    <t>Electors</t>
  </si>
  <si>
    <t>Total Votes</t>
  </si>
  <si>
    <t>Margin</t>
  </si>
  <si>
    <t>Margin(%)</t>
  </si>
  <si>
    <t>Turnout</t>
  </si>
  <si>
    <t>kingamker</t>
  </si>
  <si>
    <t>Election</t>
  </si>
  <si>
    <t>Shahada</t>
  </si>
  <si>
    <t>Nandurbar</t>
  </si>
  <si>
    <t>Valvi Padmakar Vijaysing</t>
  </si>
  <si>
    <t>Valvi Lalsing Nurya</t>
  </si>
  <si>
    <t>Yes</t>
  </si>
  <si>
    <t>AC09</t>
  </si>
  <si>
    <t>Chopda</t>
  </si>
  <si>
    <t>Jalgaon</t>
  </si>
  <si>
    <t>Jagdishchandra Ramesh Walvi (JAGDISHBHAU)</t>
  </si>
  <si>
    <t>Dr. Barela Chandrakantjamsing</t>
  </si>
  <si>
    <t>Raver</t>
  </si>
  <si>
    <t>Shirish Madhukarraochaudhari</t>
  </si>
  <si>
    <t>Chaudhari Rameshviththal</t>
  </si>
  <si>
    <t>Amalner</t>
  </si>
  <si>
    <t>Krushibhushan Sahebraopatil</t>
  </si>
  <si>
    <t>Adv.Mrs.Lalita Sham Patil</t>
  </si>
  <si>
    <t>Malkapur</t>
  </si>
  <si>
    <t>Buldana</t>
  </si>
  <si>
    <t>Chainsukh Madanlalsancheti</t>
  </si>
  <si>
    <t>Rawal Harishmahadeosingh</t>
  </si>
  <si>
    <t>Sindkhed Raja</t>
  </si>
  <si>
    <t>Dr Rajendra Bhaskarraoshingne</t>
  </si>
  <si>
    <t>Vinodbhau Laxman Wagh</t>
  </si>
  <si>
    <t>Akola West</t>
  </si>
  <si>
    <t>Akola</t>
  </si>
  <si>
    <t>Govardhan Mangilaljisharma</t>
  </si>
  <si>
    <t>Azhar Husain</t>
  </si>
  <si>
    <t>Akola East</t>
  </si>
  <si>
    <t>Bhade Haridas Pandhari</t>
  </si>
  <si>
    <t>Vijay Alias Dadaraonarayanrao Mate (PATIL)</t>
  </si>
  <si>
    <t>Murtijapur</t>
  </si>
  <si>
    <t>Harish Marotiappapimpale</t>
  </si>
  <si>
    <t>Awachar Pratibhaprabhakar</t>
  </si>
  <si>
    <t>Karanja</t>
  </si>
  <si>
    <t>Washim</t>
  </si>
  <si>
    <t>Dahake Prakashuttamrao</t>
  </si>
  <si>
    <t>Subhash Pandharinaththakre</t>
  </si>
  <si>
    <t>Dhamamgaon Railway</t>
  </si>
  <si>
    <t>Amravati</t>
  </si>
  <si>
    <t>Jagtap Virendra Valmik</t>
  </si>
  <si>
    <t>Dr. Dhole Pandurangvithusa</t>
  </si>
  <si>
    <t>Daryapur</t>
  </si>
  <si>
    <t>Capt.Abhijit Anandraoadsul</t>
  </si>
  <si>
    <t>Abhyankar Rameshwarmahadeorao</t>
  </si>
  <si>
    <t>Wardha</t>
  </si>
  <si>
    <t>Deshmukh Sureshbapuraoji</t>
  </si>
  <si>
    <t>Balpande Ravikantpandurangji</t>
  </si>
  <si>
    <t>Nagpur Central</t>
  </si>
  <si>
    <t>Nagpur</t>
  </si>
  <si>
    <t>Kumbhare Vikasshankarrao</t>
  </si>
  <si>
    <t>Haji Gani Khan</t>
  </si>
  <si>
    <t>Nagpur North</t>
  </si>
  <si>
    <t>Dr. Nitin Raut</t>
  </si>
  <si>
    <t>Dr. Milind Mane</t>
  </si>
  <si>
    <t>Gondiya</t>
  </si>
  <si>
    <t>Agrawal Gopaldasshankarlal</t>
  </si>
  <si>
    <t>Katre Bablu Shyamlal</t>
  </si>
  <si>
    <t>Rajura</t>
  </si>
  <si>
    <t>Chandrapur</t>
  </si>
  <si>
    <t>Dhote Subhashramchandrarao</t>
  </si>
  <si>
    <t>Nimje Arun Keshao</t>
  </si>
  <si>
    <t>Wani</t>
  </si>
  <si>
    <t>Yavatmal</t>
  </si>
  <si>
    <t>Kasawar Wamanraobapurao</t>
  </si>
  <si>
    <t>Derkar Sanjaynilakanthrao</t>
  </si>
  <si>
    <t>Nilesh Shivram Deshmukhparvekar</t>
  </si>
  <si>
    <t>Shrikant Alis Balasahebmadhavrao Chaudhari</t>
  </si>
  <si>
    <t>Naigaon</t>
  </si>
  <si>
    <t>Nanded</t>
  </si>
  <si>
    <t>Chavan Vasantraobalwantrao</t>
  </si>
  <si>
    <t>Bachewar Balajiganeshrao</t>
  </si>
  <si>
    <t>Parbhani</t>
  </si>
  <si>
    <t>Jadhav Sanjay (BANDU)HARIBHAU</t>
  </si>
  <si>
    <t>Adv. Tukaram Ganpatraorenge Patil</t>
  </si>
  <si>
    <t>Gangakhed</t>
  </si>
  <si>
    <t>Ghandat (MAMA)</t>
  </si>
  <si>
    <t>Warpudkar Sureshambadasrao</t>
  </si>
  <si>
    <t>Partur</t>
  </si>
  <si>
    <t>Jalna</t>
  </si>
  <si>
    <t>Jethaliya Sureshkumarkanhaiyalal</t>
  </si>
  <si>
    <t>Anwar A. Kadir Deshmukh</t>
  </si>
  <si>
    <t>Badnapur</t>
  </si>
  <si>
    <t>Santosh Vasantlalsambre</t>
  </si>
  <si>
    <t>Chaudhari Rupkumar(BABLU)NEHRULAL</t>
  </si>
  <si>
    <t>Aurangabad Central</t>
  </si>
  <si>
    <t>Aurangabad</t>
  </si>
  <si>
    <t>Jaiswal Pradeepshivnarayan</t>
  </si>
  <si>
    <t>Jain Vikas Ratanlal</t>
  </si>
  <si>
    <t>Aurangabad East</t>
  </si>
  <si>
    <t>Darda Rajendrajawaharlal</t>
  </si>
  <si>
    <t>Zambad Subhashmanakchand</t>
  </si>
  <si>
    <t>Paithan</t>
  </si>
  <si>
    <t>Sanjay Waghchaure</t>
  </si>
  <si>
    <t>Sunil Shivaji Shinde</t>
  </si>
  <si>
    <t>Gangapur</t>
  </si>
  <si>
    <t>Prashant Bansilal Bamb</t>
  </si>
  <si>
    <t>Patil Krishnadongaonkar</t>
  </si>
  <si>
    <t>Malegaon Central</t>
  </si>
  <si>
    <t>Nashik</t>
  </si>
  <si>
    <t>Mufti Mohamad Ismail A.Khalique</t>
  </si>
  <si>
    <t>Nihal Ahmad Maulwimohmad Usman</t>
  </si>
  <si>
    <t>Chandvad</t>
  </si>
  <si>
    <t>Kotwal Shirishkumarvasantrao</t>
  </si>
  <si>
    <t>Aher Arun Dadaji</t>
  </si>
  <si>
    <t>Nashik East</t>
  </si>
  <si>
    <t>Adv. Dhikale Uttamraonathuji</t>
  </si>
  <si>
    <t>Pangavhane Rajaramdinkarrao</t>
  </si>
  <si>
    <t>Devlali</t>
  </si>
  <si>
    <t>Gholap Baban Shankar</t>
  </si>
  <si>
    <t>Vairagar Raju Laxman</t>
  </si>
  <si>
    <t>Dahanu</t>
  </si>
  <si>
    <t>Thane</t>
  </si>
  <si>
    <t>Ozare Rajaram Nathu</t>
  </si>
  <si>
    <t>Dhodi Ishwar Kisan</t>
  </si>
  <si>
    <t>Palghar</t>
  </si>
  <si>
    <t>Gawit Rajendra Dhedya</t>
  </si>
  <si>
    <t>Nam Shankar Sakharam</t>
  </si>
  <si>
    <t>Boisar</t>
  </si>
  <si>
    <t>Tare Vilas Sukur</t>
  </si>
  <si>
    <t>Avinash Baliram Sutar</t>
  </si>
  <si>
    <t>Shahapur</t>
  </si>
  <si>
    <t>Daulat Bhika Daroda</t>
  </si>
  <si>
    <t>Dnyaneshwar Nivruttitalpade</t>
  </si>
  <si>
    <t>Ulhas Nagar</t>
  </si>
  <si>
    <t>Kumar Uttamchandailyani</t>
  </si>
  <si>
    <t>Adv.Sambhaji Maroti Patil</t>
  </si>
  <si>
    <t>Kalyan Rural</t>
  </si>
  <si>
    <t>Ramesh Ratan Patil</t>
  </si>
  <si>
    <t>Ravi Patil</t>
  </si>
  <si>
    <t>Mira Bhayandar</t>
  </si>
  <si>
    <t>Gilbert John Mendoca</t>
  </si>
  <si>
    <t>Chandrakant Sitaramvaity</t>
  </si>
  <si>
    <t>Ovala - Majiwada</t>
  </si>
  <si>
    <t>Pratap Baburao Sarnaik</t>
  </si>
  <si>
    <t>Dilip Sadashiv Deherkar</t>
  </si>
  <si>
    <t>Kopri-Pachpakhadi</t>
  </si>
  <si>
    <t>Eknath Sambhaji Shinde</t>
  </si>
  <si>
    <t>Gawand Rajan Shantaram</t>
  </si>
  <si>
    <t>Belapur</t>
  </si>
  <si>
    <t>Ganesh  Naik</t>
  </si>
  <si>
    <t>Rajendra (PAPU) MAHALE</t>
  </si>
  <si>
    <t>Borivali</t>
  </si>
  <si>
    <t>Mumbai (Suburban)</t>
  </si>
  <si>
    <t>Gopal Shetty</t>
  </si>
  <si>
    <t>Bhushan Patil</t>
  </si>
  <si>
    <t>Dahisar</t>
  </si>
  <si>
    <t>Ghosalkar Vinodramchandra</t>
  </si>
  <si>
    <t>Deepa Ganesh Patil</t>
  </si>
  <si>
    <t>Magathane</t>
  </si>
  <si>
    <t>Darekar Pravinyashwant</t>
  </si>
  <si>
    <t>Ashok G. Nar</t>
  </si>
  <si>
    <t>Mulund</t>
  </si>
  <si>
    <t>Sardar Tara Singh</t>
  </si>
  <si>
    <t>Adv. Mahadeo Shelar</t>
  </si>
  <si>
    <t>Vikhroli</t>
  </si>
  <si>
    <t>Mangesh Sangle</t>
  </si>
  <si>
    <t>Shri Dattaram Babi Dalvi</t>
  </si>
  <si>
    <t>Bhandup West</t>
  </si>
  <si>
    <t>Shishir Shinde</t>
  </si>
  <si>
    <t>Sunil Rajaram Raut</t>
  </si>
  <si>
    <t>Jogeshwari East</t>
  </si>
  <si>
    <t>Waikar Ravindradattaram</t>
  </si>
  <si>
    <t>Chitre Sanjay Prabhakar</t>
  </si>
  <si>
    <t>Kandivali East</t>
  </si>
  <si>
    <t>Thakur Ramesh Singh</t>
  </si>
  <si>
    <t>Pawar Vinod Tukaram</t>
  </si>
  <si>
    <t>Charkop</t>
  </si>
  <si>
    <t>Yogesh Sagar</t>
  </si>
  <si>
    <t>Deepak Amrut Desai</t>
  </si>
  <si>
    <t>Goregaon</t>
  </si>
  <si>
    <t>Subhash Desai</t>
  </si>
  <si>
    <t>Dr. Uday C. Mashelkar</t>
  </si>
  <si>
    <t>Ghatkopar West</t>
  </si>
  <si>
    <t>Ram Kadam</t>
  </si>
  <si>
    <t>Janet DÃ¢â‚¬â„¢souza</t>
  </si>
  <si>
    <t>Ghatkopar East</t>
  </si>
  <si>
    <t>Mehta Prakashmanchhubhai</t>
  </si>
  <si>
    <t>Narkar Satish Ratnakar</t>
  </si>
  <si>
    <t>Mankhurd Shivaji Nagar</t>
  </si>
  <si>
    <t>Abu Asim Azmi</t>
  </si>
  <si>
    <t>Appasaheb Bhimraowagare</t>
  </si>
  <si>
    <t>Anushakti Nagar</t>
  </si>
  <si>
    <t>Nawab Malik</t>
  </si>
  <si>
    <t>Acharya Navin Vidyadhar</t>
  </si>
  <si>
    <t>Chembur</t>
  </si>
  <si>
    <t>Chandrakant Damodharhandore</t>
  </si>
  <si>
    <t>Anil Gajanan Thakur</t>
  </si>
  <si>
    <t>Kurla</t>
  </si>
  <si>
    <t>Milind (ANNA ) KAMBLE</t>
  </si>
  <si>
    <t>Lokhande Sadashiv Kisan</t>
  </si>
  <si>
    <t>Kalina</t>
  </si>
  <si>
    <t>Krupashankar Singh</t>
  </si>
  <si>
    <t>Adv. Dinanath Tiwari</t>
  </si>
  <si>
    <t>Vandre East</t>
  </si>
  <si>
    <t>Prakash (BALA) VASANTSAWANT</t>
  </si>
  <si>
    <t>Shilpa Atul Sarpotdar</t>
  </si>
  <si>
    <t>Sion Koliwada</t>
  </si>
  <si>
    <t>Mumbai</t>
  </si>
  <si>
    <t>Shetty Jagannathachanna</t>
  </si>
  <si>
    <t>Vinod Shantaramkhopkar</t>
  </si>
  <si>
    <t>Mahim</t>
  </si>
  <si>
    <t>Nitin Vijaykumar Sardesai</t>
  </si>
  <si>
    <t>Adesh Chandrakantbandekar</t>
  </si>
  <si>
    <t>Byculla</t>
  </si>
  <si>
    <t>Chavan Madhukarbalkrishna Alias Anna</t>
  </si>
  <si>
    <t>Arun Gulab Gawali Aliasdady</t>
  </si>
  <si>
    <t>Malabar Hill</t>
  </si>
  <si>
    <t>Mangal Prabhat Lodha</t>
  </si>
  <si>
    <t>Adv. Archit Mohan Jaykar</t>
  </si>
  <si>
    <t>Mumba Devi</t>
  </si>
  <si>
    <t>Amin Patel</t>
  </si>
  <si>
    <t>Bashir Moosa Patel</t>
  </si>
  <si>
    <t>Colaba</t>
  </si>
  <si>
    <t>Annie Shekhar</t>
  </si>
  <si>
    <t>Arvind Dnyaneshwargawde</t>
  </si>
  <si>
    <t>Karjat</t>
  </si>
  <si>
    <t>Raigarh</t>
  </si>
  <si>
    <t>Sureshbhau Narayan Lad</t>
  </si>
  <si>
    <t>Hanumant Yashwantpingale</t>
  </si>
  <si>
    <t>Khed Alandi</t>
  </si>
  <si>
    <t>Pune</t>
  </si>
  <si>
    <t>Dilip Dattatray Mohite</t>
  </si>
  <si>
    <t>Thakur Ramdas Namdev</t>
  </si>
  <si>
    <t>Purandar</t>
  </si>
  <si>
    <t>Shivtare Vijay Sopanrao</t>
  </si>
  <si>
    <t>Sanjay Chandukakajagtap</t>
  </si>
  <si>
    <t>Bhor</t>
  </si>
  <si>
    <t>Thopate Sangramanantrao</t>
  </si>
  <si>
    <t>Dhumal Mansingkhanderao</t>
  </si>
  <si>
    <t>Maval</t>
  </si>
  <si>
    <t>Bala Alias Sanjayvishwanath Bhegade</t>
  </si>
  <si>
    <t>Ramesh Ramchandrasalve</t>
  </si>
  <si>
    <t>Pimpri</t>
  </si>
  <si>
    <t>Anna Bansode</t>
  </si>
  <si>
    <t>Sonkamblechandrakanta Laxman</t>
  </si>
  <si>
    <t>Shivajinagar</t>
  </si>
  <si>
    <t>Nimhan Vinayak Mahadev</t>
  </si>
  <si>
    <t>Ranjit Shrikant Shirole</t>
  </si>
  <si>
    <t>Khadakwasala</t>
  </si>
  <si>
    <t>Wanjale Ramesh Hiraman</t>
  </si>
  <si>
    <t>Murlidhar Kisan Mohol</t>
  </si>
  <si>
    <t>Parvati</t>
  </si>
  <si>
    <t>Madhuri Satish Misal</t>
  </si>
  <si>
    <t>Gadade Shivaji Bhiwa</t>
  </si>
  <si>
    <t>Hadapsar</t>
  </si>
  <si>
    <t>Babar Mahadeoramchandra</t>
  </si>
  <si>
    <t>Vasant Krushna More</t>
  </si>
  <si>
    <t>Kasba Peth</t>
  </si>
  <si>
    <t>Girish Bapat</t>
  </si>
  <si>
    <t>Rohit Dipak Tilak</t>
  </si>
  <si>
    <t>Akole</t>
  </si>
  <si>
    <t>Ahmadnagar</t>
  </si>
  <si>
    <t>Pichad Madhukarkashinath</t>
  </si>
  <si>
    <t>Ashok Yashwantbhangre</t>
  </si>
  <si>
    <t>Shevgaon</t>
  </si>
  <si>
    <t>Ghule Chandrashekharmarutraoji</t>
  </si>
  <si>
    <t>Rajiv Appasaheb Rajale</t>
  </si>
  <si>
    <t>Shrigonda</t>
  </si>
  <si>
    <t>Pachpute Babanraobhikaji</t>
  </si>
  <si>
    <t>Annasaheb Sitaramshelar</t>
  </si>
  <si>
    <t>Karjat Jamkhed</t>
  </si>
  <si>
    <t>Prof. Ram Shankarshinde</t>
  </si>
  <si>
    <t>Prof. Madhu (ABA)SHAHURAO RALEBHAT</t>
  </si>
  <si>
    <t>Umarga</t>
  </si>
  <si>
    <t>Osmanabad</t>
  </si>
  <si>
    <t>Chougule Dnyanrajdhondiram</t>
  </si>
  <si>
    <t>Mhanttyya Kalyya Swami</t>
  </si>
  <si>
    <t>Tuljapur</t>
  </si>
  <si>
    <t>Chavan Madhukarraodevrao</t>
  </si>
  <si>
    <t>Rochkari Devanandsahebrao</t>
  </si>
  <si>
    <t>Barshi</t>
  </si>
  <si>
    <t>Solapur</t>
  </si>
  <si>
    <t>Sopal Dilip Gangadhar</t>
  </si>
  <si>
    <t>Barbole Vishwasarjunrao</t>
  </si>
  <si>
    <t>Solapur City North</t>
  </si>
  <si>
    <t>Deshmukh Vijaykumarsidramappa</t>
  </si>
  <si>
    <t>Sapate Manohar Ganpat</t>
  </si>
  <si>
    <t>Sangole</t>
  </si>
  <si>
    <t>Ganapatrao Annasahebdeshmukh</t>
  </si>
  <si>
    <t>Deshmukh Shrikantappaso</t>
  </si>
  <si>
    <t>Wai</t>
  </si>
  <si>
    <t>Satara</t>
  </si>
  <si>
    <t>Makarand Laxmanraojadhav Patil</t>
  </si>
  <si>
    <t>Jadhav Purushottambajirao</t>
  </si>
  <si>
    <t>Guhagar</t>
  </si>
  <si>
    <t>Ratnagiri</t>
  </si>
  <si>
    <t>Jadhav Bhaskar Bhaurao</t>
  </si>
  <si>
    <t>Dr. Vinay Shridhar Natu</t>
  </si>
  <si>
    <t>Sawantwadi</t>
  </si>
  <si>
    <t>Sindhudurg</t>
  </si>
  <si>
    <t>Deepak Vasant Kesarkar</t>
  </si>
  <si>
    <t>Pravin Pratapraobhonsle</t>
  </si>
  <si>
    <t>Kagal</t>
  </si>
  <si>
    <t>Kolhapur</t>
  </si>
  <si>
    <t>Mushrif Hasan Miyalal</t>
  </si>
  <si>
    <t>Ghatage Sanjayanandrao</t>
  </si>
  <si>
    <t>Shirol</t>
  </si>
  <si>
    <t>Appasaheb Aliassatgonda Revgonda Patil</t>
  </si>
  <si>
    <t>Kurade Raju Annu</t>
  </si>
  <si>
    <t>Akkalkuwa (ST)</t>
  </si>
  <si>
    <t>NANDURBAR *</t>
  </si>
  <si>
    <t>PADAVI ADV. K.C.</t>
  </si>
  <si>
    <t>INC</t>
  </si>
  <si>
    <t>PADAVI NAGESH DILWARSING</t>
  </si>
  <si>
    <t>BJP</t>
  </si>
  <si>
    <t>AC14</t>
  </si>
  <si>
    <t>Nawapur (ST)</t>
  </si>
  <si>
    <t>Naik Shirishkumar Surupsing</t>
  </si>
  <si>
    <t>Gavit Bharat Manikrao</t>
  </si>
  <si>
    <t>AC19</t>
  </si>
  <si>
    <t>Dhule City</t>
  </si>
  <si>
    <t>DHULE</t>
  </si>
  <si>
    <t>ANIL ANNA GOTE</t>
  </si>
  <si>
    <t>DEORE SUBHASH SHIVAJIRAO</t>
  </si>
  <si>
    <t>SHS</t>
  </si>
  <si>
    <t>Sindkheda</t>
  </si>
  <si>
    <t>JAYKUMAR JITENDRASINH RAWAL</t>
  </si>
  <si>
    <t>SANER SHAMKANT RAGHUNATH</t>
  </si>
  <si>
    <t>Chopda (ST)</t>
  </si>
  <si>
    <t>JALGAON</t>
  </si>
  <si>
    <t>SONAWANE CHANDRAKANT BALIRAM</t>
  </si>
  <si>
    <t>JAGDISHCHANDRA RAMESH VALVI</t>
  </si>
  <si>
    <t>LATABAI CHANDRAKANT SONAWANE</t>
  </si>
  <si>
    <t>PRABHAKARAPPA GOTU SONAWANE</t>
  </si>
  <si>
    <t>IND</t>
  </si>
  <si>
    <t>HARIBHAU MADHAV JAWALE</t>
  </si>
  <si>
    <t>ABDUL GAFFAR MALIK</t>
  </si>
  <si>
    <t>NCP</t>
  </si>
  <si>
    <t>CHAUDHARI SHIRISH MADHUKARRAO</t>
  </si>
  <si>
    <t>ANIL CHABILDAS CHAWADARI</t>
  </si>
  <si>
    <t>Jalgaon Rural</t>
  </si>
  <si>
    <t>PATIL GULAB RAGHUNATH</t>
  </si>
  <si>
    <t>PATIL ABASAHEB P.C.</t>
  </si>
  <si>
    <t>SHIRISHDADA HIRALAL CHAUDHARI</t>
  </si>
  <si>
    <t>KRUSHIBHUSHAN SAHEBRAO PATIL</t>
  </si>
  <si>
    <t>Erandol</t>
  </si>
  <si>
    <t>CHIMANRAO RUPCHAND PATIL</t>
  </si>
  <si>
    <t>SHIROLE GOVIND EKNATH</t>
  </si>
  <si>
    <t>Chalisgaon</t>
  </si>
  <si>
    <t>UNMESH BHAIYYASAHEB PATIL</t>
  </si>
  <si>
    <t>GUNJAL RAMESH SAHEBRAO</t>
  </si>
  <si>
    <t>Buldhana</t>
  </si>
  <si>
    <t>BULDANA</t>
  </si>
  <si>
    <t>HARSHWARDHAN VASANTRAO SAPKAL</t>
  </si>
  <si>
    <t>GODE YOGENDRA RAJENDRA</t>
  </si>
  <si>
    <t>SANJAY RAMBHAU GAIKWAD</t>
  </si>
  <si>
    <t>HARSHWARDHAN SAPKAL</t>
  </si>
  <si>
    <t>Chikhli</t>
  </si>
  <si>
    <t>RAHUL SIDDHAVINAYAK BONDRE</t>
  </si>
  <si>
    <t>DHRUPADRAO BHAGWAN SAVLE</t>
  </si>
  <si>
    <t>DR. KHEDEKAR SHASHIKANT NARSINGRAO</t>
  </si>
  <si>
    <t>KHEDEKAR REKHA PURUSHORTTAM</t>
  </si>
  <si>
    <t>Khamgaon</t>
  </si>
  <si>
    <t>AKASH PANDURANG FUNDKAR</t>
  </si>
  <si>
    <t>VASATKAR SHARAD SUKHDEV</t>
  </si>
  <si>
    <t>VBA</t>
  </si>
  <si>
    <t>Akot</t>
  </si>
  <si>
    <t>AKOLA</t>
  </si>
  <si>
    <t>BHARSAKLE PRAKASH GUNVANTRAO</t>
  </si>
  <si>
    <t>WANKHADE PRADEEP SADASHIV</t>
  </si>
  <si>
    <t>BBM</t>
  </si>
  <si>
    <t>Balapur</t>
  </si>
  <si>
    <t>Nitinkumar Bhikanrao Tale</t>
  </si>
  <si>
    <t>Dr. Rahman Khan Haji Kale Khan</t>
  </si>
  <si>
    <t>AIMIM</t>
  </si>
  <si>
    <t>Murtizapur (SC)</t>
  </si>
  <si>
    <t>HARISH MAROTIAPPA PIMPLE</t>
  </si>
  <si>
    <t>MAHADEV BAPURAO GAWALE</t>
  </si>
  <si>
    <t>Risod</t>
  </si>
  <si>
    <t>WASHIM *</t>
  </si>
  <si>
    <t>AMEET SUBHASHRAO ZANAK</t>
  </si>
  <si>
    <t>SANAP VISHWANATH AASHRUJI</t>
  </si>
  <si>
    <t>Washim (SC)</t>
  </si>
  <si>
    <t>Lakhan Sahadeo Malik</t>
  </si>
  <si>
    <t>Pendharkar Shashikant Yashwantrao</t>
  </si>
  <si>
    <t>PATNI RAJENDRA SUKHANAND</t>
  </si>
  <si>
    <t>MO. YUSUF MO. SHAFI PUNJANI</t>
  </si>
  <si>
    <t>BSP</t>
  </si>
  <si>
    <t>Teosa</t>
  </si>
  <si>
    <t>AMRAVATI</t>
  </si>
  <si>
    <t>ADV. YASHOMATI THAKUR (SONAWANE)</t>
  </si>
  <si>
    <t>DINESH VAIKUNTHRAO WANKHADE</t>
  </si>
  <si>
    <t>Adv. Yashomati Chandrakant Thakur</t>
  </si>
  <si>
    <t>Dipak Devrao Sardar</t>
  </si>
  <si>
    <t>Daryapur (SC)</t>
  </si>
  <si>
    <t>RAMESH GANPATRAO BUNDILE</t>
  </si>
  <si>
    <t>CAPTAIN ADSUL ABHIJIT ANANDRAO</t>
  </si>
  <si>
    <t>Achalpur</t>
  </si>
  <si>
    <t>BACCHU ALIAS OMPRAKASH BABARAO KADU</t>
  </si>
  <si>
    <t>ANIRUDHA ALIAS BABLUBHAU SUBHANRAO DESHMUKH</t>
  </si>
  <si>
    <t>WARDHA</t>
  </si>
  <si>
    <t>DR.PANKAJ RAJESH BHOYAR</t>
  </si>
  <si>
    <t>NIRAJ GULABRAO GUJAR</t>
  </si>
  <si>
    <t>Umred (SC)</t>
  </si>
  <si>
    <t>NAGPUR</t>
  </si>
  <si>
    <t>Raju Devnath Parwe</t>
  </si>
  <si>
    <t>Sandip Sahadeo Meshram</t>
  </si>
  <si>
    <t>DR. MILIND MANE</t>
  </si>
  <si>
    <t>DR. NITIN RAUT</t>
  </si>
  <si>
    <t>SURESH BHAGWAN SAKHARE</t>
  </si>
  <si>
    <t>Ramtek</t>
  </si>
  <si>
    <t>REDDY DWARAM MALLIKARJUN RAMREDDY</t>
  </si>
  <si>
    <t>MOHITE SUBODH BABURAO</t>
  </si>
  <si>
    <t>Ashish Nandkishor Jaiswal (Vakil)</t>
  </si>
  <si>
    <t>Udaysingh Sohanlalji Yadav</t>
  </si>
  <si>
    <t>Tumsar</t>
  </si>
  <si>
    <t>BHANDARA</t>
  </si>
  <si>
    <t>WAGHAMARE CHARAN SOVINDA</t>
  </si>
  <si>
    <t>PATLE RAJENDRA SAHASRAM</t>
  </si>
  <si>
    <t>Bhandara (SC)</t>
  </si>
  <si>
    <t>AVSARE RAMCHANDRA PUNAJI</t>
  </si>
  <si>
    <t>NARENDRA BHOJRAJ BHONDEKAR</t>
  </si>
  <si>
    <t>Sakoli</t>
  </si>
  <si>
    <t>KASHIWAR RAJESH LAHANU</t>
  </si>
  <si>
    <t>DR. MAHENDRA VISHWANATH GANVIR</t>
  </si>
  <si>
    <t>Arjuni Morgaon(SC)</t>
  </si>
  <si>
    <t>GONDIYA *</t>
  </si>
  <si>
    <t>BADOLE RAJKUMAR SUDAMJI</t>
  </si>
  <si>
    <t>MANOHAR GOVARDHAN CHANDRIKAPURE</t>
  </si>
  <si>
    <t>Tirora</t>
  </si>
  <si>
    <t>RAHANGDALE VIJAY BHARATLAL</t>
  </si>
  <si>
    <t>TURKAR RAJLAXMI RAJESHKUMAR</t>
  </si>
  <si>
    <t>Vijay Bharatlal Rahangdale</t>
  </si>
  <si>
    <t>Bansod Dilip Waman</t>
  </si>
  <si>
    <t>AGRAWAL GOPALDAS SHANKARLAL</t>
  </si>
  <si>
    <t>ASHOK [GAPPU] LAXMINARAYAN GUPTA</t>
  </si>
  <si>
    <t>Amgaon (ST)</t>
  </si>
  <si>
    <t>PURAM SANJAY HANWANTRAO</t>
  </si>
  <si>
    <t>TARAM RAMESH NARAYAN</t>
  </si>
  <si>
    <t>Armori (ST)</t>
  </si>
  <si>
    <t>GADCHIROLI</t>
  </si>
  <si>
    <t>KRUSHNA DAMAJI GAJBE</t>
  </si>
  <si>
    <t>KOMAL RAVI BARSAGDE (TADAM)</t>
  </si>
  <si>
    <t>Gajbe Krushna Damaji</t>
  </si>
  <si>
    <t>Chandel Surendrasingh Bajarangsingh</t>
  </si>
  <si>
    <t>Aheri (ST)</t>
  </si>
  <si>
    <t>AMBRISHRAO RAJE SATYAVANRAO ATRAM</t>
  </si>
  <si>
    <t>ATRAM DEEPAKDADA</t>
  </si>
  <si>
    <t>Aatram Dharamraobaba Bhagwantrao</t>
  </si>
  <si>
    <t>Atram Deepak Dada</t>
  </si>
  <si>
    <t>Ballarpur</t>
  </si>
  <si>
    <t>CHANDRAPUR</t>
  </si>
  <si>
    <t>Mungantiwar Sudhir Sachchidanand</t>
  </si>
  <si>
    <t>Zode Raju Chinnayya</t>
  </si>
  <si>
    <t>Brahmapuri</t>
  </si>
  <si>
    <t>WADETTIWAR VIJAY NAMDEVRAO</t>
  </si>
  <si>
    <t>SANDEEP WAMANRAO GADDAMWAR</t>
  </si>
  <si>
    <t>Warora</t>
  </si>
  <si>
    <t>YAVATMAL</t>
  </si>
  <si>
    <t>DHANORKAR PRATIBHA SURESH</t>
  </si>
  <si>
    <t>RAMESH MAHADEO RAJURKAR</t>
  </si>
  <si>
    <t>MNS</t>
  </si>
  <si>
    <t>Arni (ST)</t>
  </si>
  <si>
    <t>RAJU NARAYAN TODSAM</t>
  </si>
  <si>
    <t>SANDIP PRABHAKARRAO DHURVE</t>
  </si>
  <si>
    <t>Pusad</t>
  </si>
  <si>
    <t>Naik Indranil Manohar</t>
  </si>
  <si>
    <t>(Nana) Bele Dnyaneshwar Dadarao</t>
  </si>
  <si>
    <t>Hadgaon</t>
  </si>
  <si>
    <t>NANDED</t>
  </si>
  <si>
    <t>ASHTIKAR PATIL NAGESH BAPURAO</t>
  </si>
  <si>
    <t>DR. BALIRAM VISHVNATH BHURKE</t>
  </si>
  <si>
    <t>Jawalgaonkar Madhavrao Nivruttirao Patil</t>
  </si>
  <si>
    <t>Ashtikar Nagesh Bapurao Patil</t>
  </si>
  <si>
    <t>Nanded North</t>
  </si>
  <si>
    <t>Balaji Devidasrao Kalyankar</t>
  </si>
  <si>
    <t>Feroz Lala</t>
  </si>
  <si>
    <t>CHAVAN VASANTRAO BALWANTRAO</t>
  </si>
  <si>
    <t>DESHMUKH SHRINIWAS BALAJIRAO</t>
  </si>
  <si>
    <t>Deglur (SC)</t>
  </si>
  <si>
    <t>SABNE SUBHASH PIRAJI</t>
  </si>
  <si>
    <t>BHIMRAO MARIBA KSHIRSAGAR</t>
  </si>
  <si>
    <t>Kalamnuri</t>
  </si>
  <si>
    <t>HINGOLI *</t>
  </si>
  <si>
    <t>TARFE SANTOSH KAUTIKA</t>
  </si>
  <si>
    <t>SHIVAJI MANE</t>
  </si>
  <si>
    <t>Bangar Santosh Laxmanrao</t>
  </si>
  <si>
    <t>Dr. Santosh Kautika Tarfe</t>
  </si>
  <si>
    <t>Jintur</t>
  </si>
  <si>
    <t>PARBHANI</t>
  </si>
  <si>
    <t>BHAMALE VIJAY MANIKRAO</t>
  </si>
  <si>
    <t>SANJAY NARAYAN SADEGAONKAR</t>
  </si>
  <si>
    <t>DR.RAHUL VEDPRAKASH PATIL</t>
  </si>
  <si>
    <t>ANANDRAO SHESHRAOJI BHAROSE</t>
  </si>
  <si>
    <t>RATNAKAR MANIKRAO GUTTE</t>
  </si>
  <si>
    <t>RSPS</t>
  </si>
  <si>
    <t>SITARAM CHIMAJI GHANDAT</t>
  </si>
  <si>
    <t>Pathri</t>
  </si>
  <si>
    <t>FAD MOHAN MADHAVRAO</t>
  </si>
  <si>
    <t>ABDULLAH KHAN A .LATIF KHAN DURRANI</t>
  </si>
  <si>
    <t>WARPUDKAR SURESH AMBADASRAO</t>
  </si>
  <si>
    <t>VILAS SAHEB BABAR</t>
  </si>
  <si>
    <t>Ghansawangi</t>
  </si>
  <si>
    <t>JALNA</t>
  </si>
  <si>
    <t>RAJESHBHAIYYA TOPE</t>
  </si>
  <si>
    <t>HIKMAT UDHAN</t>
  </si>
  <si>
    <t>Badnapur (SC)</t>
  </si>
  <si>
    <t>KUCHE NARAYAN TILAKCHAND</t>
  </si>
  <si>
    <t>SANTOSH VASANTLAL SAMBRE</t>
  </si>
  <si>
    <t>Sillod</t>
  </si>
  <si>
    <t>AURANGABAD</t>
  </si>
  <si>
    <t>ABDUL SATTAR ABDUL NABI</t>
  </si>
  <si>
    <t>MIRAKAR SUNIL PRABHAKARRAO</t>
  </si>
  <si>
    <t>Kannad</t>
  </si>
  <si>
    <t>UDAYSING SARDARSING RAJPUT</t>
  </si>
  <si>
    <t>KOLHE SANTOSH KISAN</t>
  </si>
  <si>
    <t>SAYED IMTIAZ JALIL</t>
  </si>
  <si>
    <t>TANWANI KISHANCHAND LEKHRAJ</t>
  </si>
  <si>
    <t>JAISWAL PRADEEP SHIVNARAYAN</t>
  </si>
  <si>
    <t>AMIT SUDHAKAR BHUIGAL</t>
  </si>
  <si>
    <t>BHUMRE SANDIPANRAO AASARAM</t>
  </si>
  <si>
    <t>HIWALE VINAYAK LAXMAN</t>
  </si>
  <si>
    <t>Bhumare Sandipanrao Asaram</t>
  </si>
  <si>
    <t>Chavhan Vijay Ambadas</t>
  </si>
  <si>
    <t>BAMB PRASHANT BANSILAL</t>
  </si>
  <si>
    <t>KRISHNA SAHEBRAO PA. DONGAOKAR</t>
  </si>
  <si>
    <t>Nandgaon</t>
  </si>
  <si>
    <t>NASHIK</t>
  </si>
  <si>
    <t>PANKAJ CHHAGAN BHUJBAL</t>
  </si>
  <si>
    <t>HIRAY -PATIL ADVAY PRASHANT</t>
  </si>
  <si>
    <t>SHAIKH AASIF SHAIKH RASHID</t>
  </si>
  <si>
    <t>A. MALIK MO. YUNUS</t>
  </si>
  <si>
    <t>DR. AHER RAHUL DAULTRAO</t>
  </si>
  <si>
    <t>DR. ATMARAM POPAT NARAYAN</t>
  </si>
  <si>
    <t>Niphad</t>
  </si>
  <si>
    <t>Bankar Diliprao Shankarrao</t>
  </si>
  <si>
    <t>Kadam Yatin Raosaheb</t>
  </si>
  <si>
    <t>BVA</t>
  </si>
  <si>
    <t>Dindori (ST)</t>
  </si>
  <si>
    <t>ZIRWAL NARHARI SITARAM</t>
  </si>
  <si>
    <t>CHAROSKAR RAMDAS KISANRAO</t>
  </si>
  <si>
    <t>Nashik West</t>
  </si>
  <si>
    <t>HIRAY SEEMA MAHESH (SEEMATAI)</t>
  </si>
  <si>
    <t>SHIVAJI(APPA) PANDURANG CHUMBHALE</t>
  </si>
  <si>
    <t>Igatpuri (ST)</t>
  </si>
  <si>
    <t>GAVEET NIRMALA RAMESH</t>
  </si>
  <si>
    <t>KHOSKAR HIRAMAN BHIKA</t>
  </si>
  <si>
    <t>Dahanu (ST)</t>
  </si>
  <si>
    <t>THANE</t>
  </si>
  <si>
    <t>DHANARE PASKAL JANYA</t>
  </si>
  <si>
    <t>KASHINATH GOVIND CHAUDHARI</t>
  </si>
  <si>
    <t>Boisar (ST)</t>
  </si>
  <si>
    <t>TARE VILAS SUKUR</t>
  </si>
  <si>
    <t>DHODI JAGDISH BHAGWAN</t>
  </si>
  <si>
    <t>Bhiwandi Rural(ST)</t>
  </si>
  <si>
    <t>SHANTARAM TUKARAM MORE</t>
  </si>
  <si>
    <t>DASHRATH DUNDARAM PATIL</t>
  </si>
  <si>
    <t>Bhiwandi West</t>
  </si>
  <si>
    <t>Chaughule Mahesh Prabhakar</t>
  </si>
  <si>
    <t>Khan Shoeb (Guddu)</t>
  </si>
  <si>
    <t>Kalyan West</t>
  </si>
  <si>
    <t>VISHWANATH ATMARAM BHOIR</t>
  </si>
  <si>
    <t>PRAKASH SUKHDEV BHOIR</t>
  </si>
  <si>
    <t>Murbad</t>
  </si>
  <si>
    <t>KISAN SHANKAR KATHORE</t>
  </si>
  <si>
    <t>WAMAN BARKU MHATRE</t>
  </si>
  <si>
    <t>Kalyan East</t>
  </si>
  <si>
    <t>Ganpat Kalu Gaikwad</t>
  </si>
  <si>
    <t>Prakash Balkrushna Tare</t>
  </si>
  <si>
    <t>Geeta Bharat Jain</t>
  </si>
  <si>
    <t>Muzaffar Hussain</t>
  </si>
  <si>
    <t>Ovala ?Majiwada</t>
  </si>
  <si>
    <t>PRATAP BABURAO SARNAIK</t>
  </si>
  <si>
    <t>HANMANT DNYANU JAGDALE</t>
  </si>
  <si>
    <t>KELKAR SANJAY MUKUND</t>
  </si>
  <si>
    <t>ADV.DAVKHARE NIRANJAN VASANT</t>
  </si>
  <si>
    <t>MUMBAI (SUBURBAN) *</t>
  </si>
  <si>
    <t>PRAKASH SURVE</t>
  </si>
  <si>
    <t>DAREKAR PRAVIN YASHWANT</t>
  </si>
  <si>
    <t>Ramesh Gajanan Korgaonkar</t>
  </si>
  <si>
    <t>Koparkar Suresh Harishchandra</t>
  </si>
  <si>
    <t>Dindoshi</t>
  </si>
  <si>
    <t>SUNIL PRABHU</t>
  </si>
  <si>
    <t>MOHIT KAMBOJ</t>
  </si>
  <si>
    <t>Andheri West</t>
  </si>
  <si>
    <t>AMEET BHASKAR SATAM</t>
  </si>
  <si>
    <t>JAYWANT MAHADEV PARAB</t>
  </si>
  <si>
    <t>Andheri East</t>
  </si>
  <si>
    <t>Ramesh Latke</t>
  </si>
  <si>
    <t>Amin Jagdish Kutty</t>
  </si>
  <si>
    <t>ABU ASIM AZMI</t>
  </si>
  <si>
    <t>SP</t>
  </si>
  <si>
    <t>ABRAHANI YUSUF</t>
  </si>
  <si>
    <t>PRAKASH VAIKUNTH PHATERPEKAR</t>
  </si>
  <si>
    <t>DIPAK SADASHIV NIKALJE</t>
  </si>
  <si>
    <t>RPI(A)</t>
  </si>
  <si>
    <t>Prakash Vaikunth Phaterpekar</t>
  </si>
  <si>
    <t>Rajendra Jagannath Mahulkar</t>
  </si>
  <si>
    <t>Kurla (SC)</t>
  </si>
  <si>
    <t>MANGESH KUDALKAR</t>
  </si>
  <si>
    <t>AVINASH GOPICHAND BARVE</t>
  </si>
  <si>
    <t>PRAKASH (BALA) SAWANT</t>
  </si>
  <si>
    <t>KHAN RAHEBAR SIRAJ (RAJA)</t>
  </si>
  <si>
    <t>Dharavi (SC)</t>
  </si>
  <si>
    <t>MUMBAI</t>
  </si>
  <si>
    <t>GAIKWAD VARSHA EKNATH</t>
  </si>
  <si>
    <t>DIVYA DHOLAY</t>
  </si>
  <si>
    <t>Gaikwad Varsha Eknath</t>
  </si>
  <si>
    <t>Manoj Sansare</t>
  </si>
  <si>
    <t>Worli</t>
  </si>
  <si>
    <t>SUNIL GOVIND SHINDE</t>
  </si>
  <si>
    <t>SUNIL DATTATRAY RANE</t>
  </si>
  <si>
    <t>Yamini Yashwant Jadhav</t>
  </si>
  <si>
    <t>Anna Madhu Chavan</t>
  </si>
  <si>
    <t>Mumbadevi</t>
  </si>
  <si>
    <t>AMIN PATEL</t>
  </si>
  <si>
    <t>MOHAMMED SHAHID RAFI</t>
  </si>
  <si>
    <t>Alibag</t>
  </si>
  <si>
    <t>RAIGARH</t>
  </si>
  <si>
    <t>SUBHASH ALIAS PANDITSHET PATIL</t>
  </si>
  <si>
    <t>PWPI</t>
  </si>
  <si>
    <t>THAKUR MADHUKAR SHANKAR (PAPPA)</t>
  </si>
  <si>
    <t>Junnar</t>
  </si>
  <si>
    <t>PUNE</t>
  </si>
  <si>
    <t>SHARADDADA BHIMAJI SONAVANE</t>
  </si>
  <si>
    <t>ATUL VALLABH BENKE</t>
  </si>
  <si>
    <t>DILIP DATTATRAY MOHITE</t>
  </si>
  <si>
    <t>Atul Mahadeo Deshmukh</t>
  </si>
  <si>
    <t>Shirur</t>
  </si>
  <si>
    <t>PACHARNE BABURAO KASHINATH</t>
  </si>
  <si>
    <t>SATAV SANJAY AMRUTRAV</t>
  </si>
  <si>
    <t>Daund</t>
  </si>
  <si>
    <t>KUL RAHUL SUBHASHRAO</t>
  </si>
  <si>
    <t>RAJARAM MARUTI TAMBE</t>
  </si>
  <si>
    <t>SANGRAM ANANTRAO THOPATE</t>
  </si>
  <si>
    <t>VIKRAM KASHINATH KHUTWAD</t>
  </si>
  <si>
    <t>Bhosari</t>
  </si>
  <si>
    <t>MAHESH (DADA) KISAN LANDGE</t>
  </si>
  <si>
    <t>VILAS VITHOBA LANDE</t>
  </si>
  <si>
    <t>VIJAY KALE</t>
  </si>
  <si>
    <t>ANIL SHIVAJIRAO BHOSALE</t>
  </si>
  <si>
    <t>Pune Cantonment (SC)</t>
  </si>
  <si>
    <t>DILIP KAMBLE</t>
  </si>
  <si>
    <t>WADEKAR PARSHURAM BALKRUSHNA</t>
  </si>
  <si>
    <t>Akole (ST)</t>
  </si>
  <si>
    <t>AHMADNAGAR</t>
  </si>
  <si>
    <t>PICHAD VAIBHAV MADHUKAR</t>
  </si>
  <si>
    <t>ASHOK YASHWANT BHANGARE</t>
  </si>
  <si>
    <t>Shrirampur(SC)</t>
  </si>
  <si>
    <t>BHAUSAHEB MALHARI KAMBLE</t>
  </si>
  <si>
    <t>KANADE LAHU NATHA</t>
  </si>
  <si>
    <t>Parner</t>
  </si>
  <si>
    <t>AUTI VIJAYRAO BHASKARRAO</t>
  </si>
  <si>
    <t>LAMKHADE MADHAVRAO BHAUSAHEB</t>
  </si>
  <si>
    <t>JAGTAP RAHUL KUNDLIKRAO</t>
  </si>
  <si>
    <t>GADE(SIR) SHASHIKANT MADHAVRAO</t>
  </si>
  <si>
    <t>PRO. RAM SHANKAR SHINDE</t>
  </si>
  <si>
    <t>PHALKE JAYSINGRAO ANANDRAO</t>
  </si>
  <si>
    <t>Ahmadpur</t>
  </si>
  <si>
    <t>LATUR</t>
  </si>
  <si>
    <t>BABASAHEB MOHANRAO PATIL</t>
  </si>
  <si>
    <t>DILIP RAJESAHEB DESHMUKH</t>
  </si>
  <si>
    <t>Udgir (SC)</t>
  </si>
  <si>
    <t>SUDHAKAR SANGRAM BHALERAO</t>
  </si>
  <si>
    <t>PROF. RAMKISHAN BHIMRAO SONKAMBLE</t>
  </si>
  <si>
    <t>Ausa</t>
  </si>
  <si>
    <t>BASAVRAJ MADHAVRAO PATIL</t>
  </si>
  <si>
    <t>PASHA PATEL</t>
  </si>
  <si>
    <t>Umarga (SC)</t>
  </si>
  <si>
    <t>OSMANABAD</t>
  </si>
  <si>
    <t>CHOUGULE DNYANRAJ DHONDIRAM</t>
  </si>
  <si>
    <t>SHINDE KAILAS CHINTAMANRAO</t>
  </si>
  <si>
    <t>CHAVAN MADHUKARRAO DEORAO</t>
  </si>
  <si>
    <t>NIMBALKAR SANJAY PRAKASH</t>
  </si>
  <si>
    <t>Ranajagjitsinha Padmasinha Patil</t>
  </si>
  <si>
    <t>Ashok Haridas Jagdale</t>
  </si>
  <si>
    <t>Kailas Balasaheb Ghadge Patil</t>
  </si>
  <si>
    <t>Ajit Bappasaheb Pingle</t>
  </si>
  <si>
    <t>Paranda</t>
  </si>
  <si>
    <t>MOTE RAHUL MAHARUDRA</t>
  </si>
  <si>
    <t>BALASAHEB BHAGWANTRAO PATIL</t>
  </si>
  <si>
    <t>Madha</t>
  </si>
  <si>
    <t>SOLAPUR</t>
  </si>
  <si>
    <t>SHINDE BABANRAO VITTHALRAO</t>
  </si>
  <si>
    <t>SAWANT SHIVAJI JAYWANT</t>
  </si>
  <si>
    <t>Mohol (SC)</t>
  </si>
  <si>
    <t>Mane Yashwant Vitthal</t>
  </si>
  <si>
    <t>Ramesh Nagnath Kadam</t>
  </si>
  <si>
    <t>Solapur City Central</t>
  </si>
  <si>
    <t>SHINDE PRANITI SUSHILKUMAR</t>
  </si>
  <si>
    <t>KOTHE MAHESH VISHNUPANT</t>
  </si>
  <si>
    <t>Shinde Praniti Sushilkumar</t>
  </si>
  <si>
    <t>Kothe Mahesh Vishnupant</t>
  </si>
  <si>
    <t>Akkalkot</t>
  </si>
  <si>
    <t>SIDDHARAM SATLINGAPPA MHETRE</t>
  </si>
  <si>
    <t>SHABDI FARUK MAQBOOL</t>
  </si>
  <si>
    <t>Pandharpur</t>
  </si>
  <si>
    <t>Bhalake Bharat Tukaram</t>
  </si>
  <si>
    <t>Autade Samadhan Mahadeo</t>
  </si>
  <si>
    <t>Man</t>
  </si>
  <si>
    <t>SATARA</t>
  </si>
  <si>
    <t>JAYKUMAR BHAGWANRAO GORE</t>
  </si>
  <si>
    <t>SADASHIVA AABAJI POL</t>
  </si>
  <si>
    <t>Karad North</t>
  </si>
  <si>
    <t>PATIL SHAMRAO ALIAS BALASO PANDURANG</t>
  </si>
  <si>
    <t>GHORPADE MANOJ BHIMRAO</t>
  </si>
  <si>
    <t>SWP</t>
  </si>
  <si>
    <t>Karad South</t>
  </si>
  <si>
    <t>CHAVAN PRITHVIRAJ DAJISAHEB</t>
  </si>
  <si>
    <t>ATUL SURESH BHOSALE</t>
  </si>
  <si>
    <t>KOLHAPUR</t>
  </si>
  <si>
    <t>Sanjay Anandrao Ghatage</t>
  </si>
  <si>
    <t>Kolhapur North</t>
  </si>
  <si>
    <t>RAJESH VINAYAKRAO KSHIRSAGAR</t>
  </si>
  <si>
    <t>MAHESH BALASAHEB JADHAV</t>
  </si>
  <si>
    <t>Hatkanangle(SC)</t>
  </si>
  <si>
    <t>DR. MINCHEKAR SUJIT VASANTRAO</t>
  </si>
  <si>
    <t>AWALE RAJU KISANRAO</t>
  </si>
  <si>
    <t>JSS</t>
  </si>
  <si>
    <t>PATIL ULHAS SAMBHAJI</t>
  </si>
  <si>
    <t>SAVAKAR MADNAIK</t>
  </si>
  <si>
    <t>Rajendra Shamgonda Patil (Yadravkar)</t>
  </si>
  <si>
    <t>Anil alias Savkar Balu Madnaik</t>
  </si>
  <si>
    <t>Sangli</t>
  </si>
  <si>
    <t>SANGLI</t>
  </si>
  <si>
    <t>DHANANJAY ALIAS SUDHIR DADA HARI GADGIL</t>
  </si>
  <si>
    <t>PAWAR PRUTHVIRAJ SAMBHAJI</t>
  </si>
  <si>
    <t>Shirala</t>
  </si>
  <si>
    <t>Mansing Fattesingrao Naik</t>
  </si>
  <si>
    <t>Samarat(Baba) Nanaso Mahadik</t>
  </si>
  <si>
    <t>Khanapur</t>
  </si>
  <si>
    <t>ANILBHAU BABAR</t>
  </si>
  <si>
    <t>GOPICHAND KUNDLIK PADALKAR</t>
  </si>
  <si>
    <t>Jat</t>
  </si>
  <si>
    <t>JAGTAP VILASRAV NARAYAN</t>
  </si>
  <si>
    <t>PRAKASH (AANNA) SHIVAJIRAO SHENDAGE</t>
  </si>
  <si>
    <t>Kingmaker</t>
  </si>
  <si>
    <t>King party</t>
  </si>
  <si>
    <t>King Voteshare</t>
  </si>
  <si>
    <t>King votes</t>
  </si>
  <si>
    <t>King Margin</t>
  </si>
  <si>
    <t>King Margin %</t>
  </si>
  <si>
    <t>Count</t>
  </si>
  <si>
    <t>JSP</t>
  </si>
  <si>
    <t>CPIM</t>
  </si>
  <si>
    <t>RPOI</t>
  </si>
  <si>
    <t>ABS</t>
  </si>
  <si>
    <t>JDS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</si>
</sst>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10" fontId="2" fillId="0" borderId="1" xfId="1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0" fontId="0" fillId="0" borderId="0" xfId="1" applyNumberFormat="1" applyFont="1"/>
    <xf numFmtId="0" fontId="3" fillId="0" borderId="0" xfId="0" applyFont="1"/>
    <xf numFmtId="10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5"/>
  <sheetViews>
    <sheetView tabSelected="1" topLeftCell="A226" workbookViewId="0">
      <selection activeCell="I248" sqref="I248"/>
    </sheetView>
  </sheetViews>
  <sheetFormatPr defaultRowHeight="14.4" x14ac:dyDescent="0.3"/>
  <cols>
    <col min="6" max="6" width="8.88671875" style="4"/>
    <col min="7" max="7" width="7.44140625" customWidth="1"/>
    <col min="11" max="12" width="8.88671875" style="4"/>
    <col min="15" max="15" width="8.88671875" style="4"/>
    <col min="16" max="16" width="22.88671875" customWidth="1"/>
    <col min="18" max="18" width="8.88671875" style="4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740</v>
      </c>
      <c r="N1" s="1" t="s">
        <v>743</v>
      </c>
      <c r="O1" s="2" t="s">
        <v>742</v>
      </c>
      <c r="P1" s="1" t="s">
        <v>741</v>
      </c>
      <c r="Q1" s="1" t="s">
        <v>744</v>
      </c>
      <c r="R1" s="2" t="s">
        <v>745</v>
      </c>
      <c r="S1" s="3" t="s">
        <v>12</v>
      </c>
      <c r="T1" s="3" t="s">
        <v>13</v>
      </c>
      <c r="U1" s="3" t="s">
        <v>746</v>
      </c>
    </row>
    <row r="2" spans="1:21" x14ac:dyDescent="0.3">
      <c r="A2">
        <v>2</v>
      </c>
      <c r="B2" t="s">
        <v>14</v>
      </c>
      <c r="C2" t="s">
        <v>15</v>
      </c>
      <c r="D2" t="s">
        <v>16</v>
      </c>
      <c r="E2">
        <v>51222</v>
      </c>
      <c r="F2" s="4">
        <v>0.35399999999999998</v>
      </c>
      <c r="G2" t="s">
        <v>316</v>
      </c>
      <c r="H2">
        <v>257248</v>
      </c>
      <c r="I2">
        <v>144652</v>
      </c>
      <c r="J2">
        <v>12587</v>
      </c>
      <c r="K2" s="4">
        <v>8.7015734314077928E-2</v>
      </c>
      <c r="L2" s="4">
        <v>0.56230563502923248</v>
      </c>
      <c r="M2" t="s">
        <v>17</v>
      </c>
      <c r="N2">
        <v>29656</v>
      </c>
      <c r="O2" s="4">
        <v>0.20499999999999999</v>
      </c>
      <c r="P2" t="s">
        <v>338</v>
      </c>
      <c r="Q2">
        <v>21382</v>
      </c>
      <c r="R2" s="4">
        <v>0.1478168293559716</v>
      </c>
      <c r="S2" t="s">
        <v>18</v>
      </c>
      <c r="T2" t="s">
        <v>19</v>
      </c>
      <c r="U2" t="str">
        <f>IF(COUNTIF(A:A, A2)&gt;=3, "Yes", "No")</f>
        <v>No</v>
      </c>
    </row>
    <row r="3" spans="1:21" x14ac:dyDescent="0.3">
      <c r="A3">
        <v>10</v>
      </c>
      <c r="B3" t="s">
        <v>20</v>
      </c>
      <c r="C3" t="s">
        <v>21</v>
      </c>
      <c r="D3" t="s">
        <v>22</v>
      </c>
      <c r="E3">
        <v>69636</v>
      </c>
      <c r="F3" s="4">
        <v>0.432</v>
      </c>
      <c r="G3" t="s">
        <v>341</v>
      </c>
      <c r="H3">
        <v>253260</v>
      </c>
      <c r="I3">
        <v>161269</v>
      </c>
      <c r="J3">
        <v>14838</v>
      </c>
      <c r="K3" s="4">
        <v>9.2007763426324954E-2</v>
      </c>
      <c r="L3" s="4">
        <v>0.63677248677248677</v>
      </c>
      <c r="M3" t="s">
        <v>23</v>
      </c>
      <c r="N3">
        <v>19298</v>
      </c>
      <c r="O3" s="4">
        <v>0.12</v>
      </c>
      <c r="P3" t="s">
        <v>465</v>
      </c>
      <c r="Q3">
        <v>9666</v>
      </c>
      <c r="R3" s="4">
        <v>5.9937123687751517E-2</v>
      </c>
      <c r="S3" t="s">
        <v>18</v>
      </c>
      <c r="T3" t="s">
        <v>19</v>
      </c>
      <c r="U3" t="str">
        <f>IF(COUNTIF(A:A, A3)&gt;=3, "Yes", "No")</f>
        <v>Yes</v>
      </c>
    </row>
    <row r="4" spans="1:21" x14ac:dyDescent="0.3">
      <c r="A4">
        <v>11</v>
      </c>
      <c r="B4" t="s">
        <v>24</v>
      </c>
      <c r="C4" t="s">
        <v>21</v>
      </c>
      <c r="D4" t="s">
        <v>25</v>
      </c>
      <c r="E4">
        <v>54115</v>
      </c>
      <c r="F4" s="4">
        <v>0.35199999999999998</v>
      </c>
      <c r="G4" t="s">
        <v>338</v>
      </c>
      <c r="H4">
        <v>244991</v>
      </c>
      <c r="I4">
        <v>153708</v>
      </c>
      <c r="J4">
        <v>21536</v>
      </c>
      <c r="K4" s="4">
        <v>0.14010981861711819</v>
      </c>
      <c r="L4" s="4">
        <v>0.62740263928062667</v>
      </c>
      <c r="M4" t="s">
        <v>26</v>
      </c>
      <c r="N4">
        <v>28638</v>
      </c>
      <c r="O4" s="4">
        <v>0.186</v>
      </c>
      <c r="P4" t="s">
        <v>316</v>
      </c>
      <c r="Q4">
        <v>12553</v>
      </c>
      <c r="R4" s="4">
        <v>8.1667837718271005E-2</v>
      </c>
      <c r="S4" t="s">
        <v>18</v>
      </c>
      <c r="T4" t="s">
        <v>19</v>
      </c>
      <c r="U4" t="str">
        <f>IF(COUNTIF(A:A, A4)&gt;=3, "Yes", "No")</f>
        <v>Yes</v>
      </c>
    </row>
    <row r="5" spans="1:21" x14ac:dyDescent="0.3">
      <c r="A5">
        <v>15</v>
      </c>
      <c r="B5" t="s">
        <v>27</v>
      </c>
      <c r="C5" t="s">
        <v>21</v>
      </c>
      <c r="D5" t="s">
        <v>28</v>
      </c>
      <c r="E5">
        <v>55084</v>
      </c>
      <c r="F5" s="4">
        <v>0.373</v>
      </c>
      <c r="G5" t="s">
        <v>338</v>
      </c>
      <c r="H5">
        <v>252420</v>
      </c>
      <c r="I5">
        <v>147681</v>
      </c>
      <c r="J5">
        <v>10463</v>
      </c>
      <c r="K5" s="4">
        <v>7.084865351670154E-2</v>
      </c>
      <c r="L5" s="4">
        <v>0.58506061326360825</v>
      </c>
      <c r="M5" t="s">
        <v>29</v>
      </c>
      <c r="N5">
        <v>25609</v>
      </c>
      <c r="O5" s="4">
        <v>0.17299999999999999</v>
      </c>
      <c r="P5" t="s">
        <v>316</v>
      </c>
      <c r="Q5">
        <v>15187</v>
      </c>
      <c r="R5" s="4">
        <v>0.1028365192543387</v>
      </c>
      <c r="S5" t="s">
        <v>18</v>
      </c>
      <c r="T5" t="s">
        <v>19</v>
      </c>
      <c r="U5" t="str">
        <f>IF(COUNTIF(A:A, A5)&gt;=3, "Yes", "No")</f>
        <v>No</v>
      </c>
    </row>
    <row r="6" spans="1:21" x14ac:dyDescent="0.3">
      <c r="A6">
        <v>21</v>
      </c>
      <c r="B6" t="s">
        <v>30</v>
      </c>
      <c r="C6" t="s">
        <v>31</v>
      </c>
      <c r="D6" t="s">
        <v>32</v>
      </c>
      <c r="E6">
        <v>61177</v>
      </c>
      <c r="F6" s="4">
        <v>0.39900000000000002</v>
      </c>
      <c r="G6" t="s">
        <v>318</v>
      </c>
      <c r="H6">
        <v>225553</v>
      </c>
      <c r="I6">
        <v>153179</v>
      </c>
      <c r="J6">
        <v>11987</v>
      </c>
      <c r="K6" s="4">
        <v>7.8254852166419683E-2</v>
      </c>
      <c r="L6" s="4">
        <v>0.6791264137475449</v>
      </c>
      <c r="M6" t="s">
        <v>33</v>
      </c>
      <c r="N6">
        <v>31230</v>
      </c>
      <c r="O6" s="4">
        <v>0.20399999999999999</v>
      </c>
      <c r="P6" t="s">
        <v>747</v>
      </c>
      <c r="Q6">
        <v>29340</v>
      </c>
      <c r="R6" s="4">
        <v>0.19154061588076701</v>
      </c>
      <c r="S6" t="s">
        <v>18</v>
      </c>
      <c r="T6" t="s">
        <v>19</v>
      </c>
      <c r="U6" t="str">
        <f>IF(COUNTIF(A:A, A6)&gt;=3, "Yes", "No")</f>
        <v>No</v>
      </c>
    </row>
    <row r="7" spans="1:21" x14ac:dyDescent="0.3">
      <c r="A7">
        <v>24</v>
      </c>
      <c r="B7" t="s">
        <v>34</v>
      </c>
      <c r="C7" t="s">
        <v>31</v>
      </c>
      <c r="D7" t="s">
        <v>35</v>
      </c>
      <c r="E7">
        <v>81808</v>
      </c>
      <c r="F7" s="4">
        <v>0.47399999999999998</v>
      </c>
      <c r="G7" t="s">
        <v>341</v>
      </c>
      <c r="H7">
        <v>260494</v>
      </c>
      <c r="I7">
        <v>172702</v>
      </c>
      <c r="J7">
        <v>24150</v>
      </c>
      <c r="K7" s="4">
        <v>0.13983624972495981</v>
      </c>
      <c r="L7" s="4">
        <v>0.66297880181501301</v>
      </c>
      <c r="M7" t="s">
        <v>36</v>
      </c>
      <c r="N7">
        <v>24833</v>
      </c>
      <c r="O7" s="4">
        <v>0.14399999999999999</v>
      </c>
      <c r="P7" t="s">
        <v>465</v>
      </c>
      <c r="Q7">
        <v>20219</v>
      </c>
      <c r="R7" s="4">
        <v>0.11707449826869409</v>
      </c>
      <c r="S7" t="s">
        <v>18</v>
      </c>
      <c r="T7" t="s">
        <v>19</v>
      </c>
      <c r="U7" t="str">
        <f>IF(COUNTIF(A:A, A7)&gt;=3, "Yes", "No")</f>
        <v>No</v>
      </c>
    </row>
    <row r="8" spans="1:21" x14ac:dyDescent="0.3">
      <c r="A8">
        <v>30</v>
      </c>
      <c r="B8" t="s">
        <v>37</v>
      </c>
      <c r="C8" t="s">
        <v>38</v>
      </c>
      <c r="D8" t="s">
        <v>39</v>
      </c>
      <c r="E8">
        <v>44156</v>
      </c>
      <c r="F8" s="4">
        <v>0.35199999999999998</v>
      </c>
      <c r="G8" t="s">
        <v>318</v>
      </c>
      <c r="H8">
        <v>256923</v>
      </c>
      <c r="I8">
        <v>125483</v>
      </c>
      <c r="J8">
        <v>11910</v>
      </c>
      <c r="K8" s="4">
        <v>9.4913255181976838E-2</v>
      </c>
      <c r="L8" s="4">
        <v>0.48840703245719541</v>
      </c>
      <c r="M8" t="s">
        <v>40</v>
      </c>
      <c r="N8">
        <v>23060</v>
      </c>
      <c r="O8" s="4">
        <v>0.184</v>
      </c>
      <c r="P8" t="s">
        <v>747</v>
      </c>
      <c r="Q8">
        <v>11151</v>
      </c>
      <c r="R8" s="4">
        <v>8.8864627080959172E-2</v>
      </c>
      <c r="S8" t="s">
        <v>18</v>
      </c>
      <c r="T8" t="s">
        <v>19</v>
      </c>
      <c r="U8" t="str">
        <f>IF(COUNTIF(A:A, A8)&gt;=3, "Yes", "No")</f>
        <v>No</v>
      </c>
    </row>
    <row r="9" spans="1:21" x14ac:dyDescent="0.3">
      <c r="A9">
        <v>31</v>
      </c>
      <c r="B9" t="s">
        <v>41</v>
      </c>
      <c r="C9" t="s">
        <v>38</v>
      </c>
      <c r="D9" t="s">
        <v>42</v>
      </c>
      <c r="E9">
        <v>48438</v>
      </c>
      <c r="F9" s="4">
        <v>0.32700000000000001</v>
      </c>
      <c r="G9" t="s">
        <v>374</v>
      </c>
      <c r="H9">
        <v>274988</v>
      </c>
      <c r="I9">
        <v>148040</v>
      </c>
      <c r="J9">
        <v>14244</v>
      </c>
      <c r="K9" s="4">
        <v>9.6217238584166448E-2</v>
      </c>
      <c r="L9" s="4">
        <v>0.53835076439699192</v>
      </c>
      <c r="M9" t="s">
        <v>43</v>
      </c>
      <c r="N9">
        <v>29511</v>
      </c>
      <c r="O9" s="4">
        <v>0.19900000000000001</v>
      </c>
      <c r="P9" t="s">
        <v>316</v>
      </c>
      <c r="Q9">
        <v>446</v>
      </c>
      <c r="R9" s="4">
        <v>3.0126992704674412E-3</v>
      </c>
      <c r="S9" t="s">
        <v>18</v>
      </c>
      <c r="T9" t="s">
        <v>19</v>
      </c>
      <c r="U9" t="str">
        <f>IF(COUNTIF(A:A, A9)&gt;=3, "Yes", "No")</f>
        <v>No</v>
      </c>
    </row>
    <row r="10" spans="1:21" x14ac:dyDescent="0.3">
      <c r="A10">
        <v>32</v>
      </c>
      <c r="B10" t="s">
        <v>44</v>
      </c>
      <c r="C10" t="s">
        <v>38</v>
      </c>
      <c r="D10" t="s">
        <v>45</v>
      </c>
      <c r="E10">
        <v>50333</v>
      </c>
      <c r="F10" s="4">
        <v>0.39100000000000001</v>
      </c>
      <c r="G10" t="s">
        <v>318</v>
      </c>
      <c r="H10">
        <v>257296</v>
      </c>
      <c r="I10">
        <v>128644</v>
      </c>
      <c r="J10">
        <v>15358</v>
      </c>
      <c r="K10" s="4">
        <v>0.11938372563042191</v>
      </c>
      <c r="L10" s="4">
        <v>0.49998445370312788</v>
      </c>
      <c r="M10" t="s">
        <v>46</v>
      </c>
      <c r="N10">
        <v>34631</v>
      </c>
      <c r="O10" s="4">
        <v>0.26900000000000002</v>
      </c>
      <c r="P10" t="s">
        <v>341</v>
      </c>
      <c r="Q10">
        <v>30615</v>
      </c>
      <c r="R10" s="4">
        <v>0.2379823388576226</v>
      </c>
      <c r="S10" t="s">
        <v>18</v>
      </c>
      <c r="T10" t="s">
        <v>19</v>
      </c>
      <c r="U10" t="str">
        <f>IF(COUNTIF(A:A, A10)&gt;=3, "Yes", "No")</f>
        <v>No</v>
      </c>
    </row>
    <row r="11" spans="1:21" x14ac:dyDescent="0.3">
      <c r="A11">
        <v>35</v>
      </c>
      <c r="B11" t="s">
        <v>47</v>
      </c>
      <c r="C11" t="s">
        <v>48</v>
      </c>
      <c r="D11" t="s">
        <v>49</v>
      </c>
      <c r="E11">
        <v>62658</v>
      </c>
      <c r="F11" s="4">
        <v>0.38800000000000001</v>
      </c>
      <c r="G11" t="s">
        <v>341</v>
      </c>
      <c r="H11">
        <v>249933</v>
      </c>
      <c r="I11">
        <v>161617</v>
      </c>
      <c r="J11">
        <v>30375</v>
      </c>
      <c r="K11" s="4">
        <v>0.18794433753874901</v>
      </c>
      <c r="L11" s="4">
        <v>0.64664129986836472</v>
      </c>
      <c r="M11" t="s">
        <v>50</v>
      </c>
      <c r="N11">
        <v>30681</v>
      </c>
      <c r="O11" s="4">
        <v>0.19</v>
      </c>
      <c r="P11" t="s">
        <v>338</v>
      </c>
      <c r="Q11">
        <v>6091</v>
      </c>
      <c r="R11" s="4">
        <v>3.7687866994189967E-2</v>
      </c>
      <c r="S11" t="s">
        <v>18</v>
      </c>
      <c r="T11" t="s">
        <v>19</v>
      </c>
      <c r="U11" t="str">
        <f>IF(COUNTIF(A:A, A11)&gt;=3, "Yes", "No")</f>
        <v>No</v>
      </c>
    </row>
    <row r="12" spans="1:21" x14ac:dyDescent="0.3">
      <c r="A12">
        <v>36</v>
      </c>
      <c r="B12" t="s">
        <v>51</v>
      </c>
      <c r="C12" t="s">
        <v>52</v>
      </c>
      <c r="D12" t="s">
        <v>53</v>
      </c>
      <c r="E12">
        <v>72755</v>
      </c>
      <c r="F12" s="4">
        <v>0.39900000000000002</v>
      </c>
      <c r="G12" t="s">
        <v>316</v>
      </c>
      <c r="H12">
        <v>270397</v>
      </c>
      <c r="I12">
        <v>182228</v>
      </c>
      <c r="J12">
        <v>13448</v>
      </c>
      <c r="K12" s="4">
        <v>7.3797660074192764E-2</v>
      </c>
      <c r="L12" s="4">
        <v>0.67392759535054014</v>
      </c>
      <c r="M12" t="s">
        <v>54</v>
      </c>
      <c r="N12">
        <v>29544</v>
      </c>
      <c r="O12" s="4">
        <v>0.16200000000000001</v>
      </c>
      <c r="P12" t="s">
        <v>391</v>
      </c>
      <c r="Q12">
        <v>23635</v>
      </c>
      <c r="R12" s="4">
        <v>0.129700155848717</v>
      </c>
      <c r="S12" t="s">
        <v>18</v>
      </c>
      <c r="T12" t="s">
        <v>19</v>
      </c>
      <c r="U12" t="str">
        <f>IF(COUNTIF(A:A, A12)&gt;=3, "Yes", "No")</f>
        <v>No</v>
      </c>
    </row>
    <row r="13" spans="1:21" x14ac:dyDescent="0.3">
      <c r="A13">
        <v>40</v>
      </c>
      <c r="B13" t="s">
        <v>55</v>
      </c>
      <c r="C13" t="s">
        <v>52</v>
      </c>
      <c r="D13" t="s">
        <v>56</v>
      </c>
      <c r="E13">
        <v>40606</v>
      </c>
      <c r="F13" s="4">
        <v>0.27</v>
      </c>
      <c r="G13" t="s">
        <v>328</v>
      </c>
      <c r="H13">
        <v>256444</v>
      </c>
      <c r="I13">
        <v>150314</v>
      </c>
      <c r="J13">
        <v>14658</v>
      </c>
      <c r="K13" s="4">
        <v>9.7515866785528954E-2</v>
      </c>
      <c r="L13" s="4">
        <v>0.58614746299386999</v>
      </c>
      <c r="M13" t="s">
        <v>57</v>
      </c>
      <c r="N13">
        <v>20263</v>
      </c>
      <c r="O13" s="4">
        <v>0.13500000000000001</v>
      </c>
      <c r="P13" t="s">
        <v>749</v>
      </c>
      <c r="Q13">
        <v>6406</v>
      </c>
      <c r="R13" s="4">
        <v>4.2617454129355879E-2</v>
      </c>
      <c r="S13" t="s">
        <v>18</v>
      </c>
      <c r="T13" t="s">
        <v>19</v>
      </c>
      <c r="U13" t="str">
        <f>IF(COUNTIF(A:A, A13)&gt;=3, "Yes", "No")</f>
        <v>No</v>
      </c>
    </row>
    <row r="14" spans="1:21" x14ac:dyDescent="0.3">
      <c r="A14">
        <v>47</v>
      </c>
      <c r="B14" t="s">
        <v>58</v>
      </c>
      <c r="C14" t="s">
        <v>58</v>
      </c>
      <c r="D14" t="s">
        <v>59</v>
      </c>
      <c r="E14">
        <v>52085</v>
      </c>
      <c r="F14" s="4">
        <v>0.35399999999999998</v>
      </c>
      <c r="G14" t="s">
        <v>338</v>
      </c>
      <c r="H14">
        <v>241396</v>
      </c>
      <c r="I14">
        <v>147081</v>
      </c>
      <c r="J14">
        <v>11665</v>
      </c>
      <c r="K14" s="4">
        <v>7.9310040045961067E-2</v>
      </c>
      <c r="L14" s="4">
        <v>0.60929344313907441</v>
      </c>
      <c r="M14" t="s">
        <v>60</v>
      </c>
      <c r="N14">
        <v>21966</v>
      </c>
      <c r="O14" s="4">
        <v>0.14899999999999999</v>
      </c>
      <c r="P14" t="s">
        <v>328</v>
      </c>
      <c r="Q14">
        <v>9839</v>
      </c>
      <c r="R14" s="4">
        <v>6.6895112217077668E-2</v>
      </c>
      <c r="S14" t="s">
        <v>18</v>
      </c>
      <c r="T14" t="s">
        <v>19</v>
      </c>
      <c r="U14" t="str">
        <f>IF(COUNTIF(A:A, A14)&gt;=3, "Yes", "No")</f>
        <v>No</v>
      </c>
    </row>
    <row r="15" spans="1:21" x14ac:dyDescent="0.3">
      <c r="A15">
        <v>55</v>
      </c>
      <c r="B15" t="s">
        <v>61</v>
      </c>
      <c r="C15" t="s">
        <v>62</v>
      </c>
      <c r="D15" t="s">
        <v>63</v>
      </c>
      <c r="E15">
        <v>56312</v>
      </c>
      <c r="F15" s="4">
        <v>0.36499999999999999</v>
      </c>
      <c r="G15" t="s">
        <v>318</v>
      </c>
      <c r="H15">
        <v>304487</v>
      </c>
      <c r="I15">
        <v>154405</v>
      </c>
      <c r="J15">
        <v>10791</v>
      </c>
      <c r="K15" s="4">
        <v>6.9887633172500893E-2</v>
      </c>
      <c r="L15" s="4">
        <v>0.50709882523720229</v>
      </c>
      <c r="M15" t="s">
        <v>64</v>
      </c>
      <c r="N15">
        <v>24034</v>
      </c>
      <c r="O15" s="4">
        <v>0.156</v>
      </c>
      <c r="P15" t="s">
        <v>391</v>
      </c>
      <c r="Q15">
        <v>14877</v>
      </c>
      <c r="R15" s="4">
        <v>9.6350506784106726E-2</v>
      </c>
      <c r="S15" t="s">
        <v>18</v>
      </c>
      <c r="T15" t="s">
        <v>19</v>
      </c>
      <c r="U15" t="str">
        <f>IF(COUNTIF(A:A, A15)&gt;=3, "Yes", "No")</f>
        <v>No</v>
      </c>
    </row>
    <row r="16" spans="1:21" x14ac:dyDescent="0.3">
      <c r="A16">
        <v>57</v>
      </c>
      <c r="B16" t="s">
        <v>65</v>
      </c>
      <c r="C16" t="s">
        <v>62</v>
      </c>
      <c r="D16" t="s">
        <v>66</v>
      </c>
      <c r="E16">
        <v>57929</v>
      </c>
      <c r="F16" s="4">
        <v>0.375</v>
      </c>
      <c r="G16" t="s">
        <v>316</v>
      </c>
      <c r="H16">
        <v>322158</v>
      </c>
      <c r="I16">
        <v>154379</v>
      </c>
      <c r="J16">
        <v>17862</v>
      </c>
      <c r="K16" s="4">
        <v>0.11570226520446431</v>
      </c>
      <c r="L16" s="4">
        <v>0.47920275144494318</v>
      </c>
      <c r="M16" t="s">
        <v>67</v>
      </c>
      <c r="N16">
        <v>23662</v>
      </c>
      <c r="O16" s="4">
        <v>0.153</v>
      </c>
      <c r="P16" t="s">
        <v>338</v>
      </c>
      <c r="Q16">
        <v>10215</v>
      </c>
      <c r="R16" s="4">
        <v>6.6168326002888994E-2</v>
      </c>
      <c r="S16" t="s">
        <v>18</v>
      </c>
      <c r="T16" t="s">
        <v>19</v>
      </c>
      <c r="U16" t="str">
        <f>IF(COUNTIF(A:A, A16)&gt;=3, "Yes", "No")</f>
        <v>Yes</v>
      </c>
    </row>
    <row r="17" spans="1:21" x14ac:dyDescent="0.3">
      <c r="A17">
        <v>65</v>
      </c>
      <c r="B17" t="s">
        <v>68</v>
      </c>
      <c r="C17" t="s">
        <v>68</v>
      </c>
      <c r="D17" t="s">
        <v>69</v>
      </c>
      <c r="E17">
        <v>75921</v>
      </c>
      <c r="F17" s="4">
        <v>0.46500000000000002</v>
      </c>
      <c r="G17" t="s">
        <v>316</v>
      </c>
      <c r="H17">
        <v>250839</v>
      </c>
      <c r="I17">
        <v>163169</v>
      </c>
      <c r="J17">
        <v>9971</v>
      </c>
      <c r="K17" s="4">
        <v>6.1108421330032053E-2</v>
      </c>
      <c r="L17" s="4">
        <v>0.65049294567431704</v>
      </c>
      <c r="M17" t="s">
        <v>70</v>
      </c>
      <c r="N17">
        <v>10599</v>
      </c>
      <c r="O17" s="4">
        <v>6.5000000000000002E-2</v>
      </c>
      <c r="P17" t="s">
        <v>391</v>
      </c>
      <c r="Q17">
        <v>7925</v>
      </c>
      <c r="R17" s="4">
        <v>4.8569274800973221E-2</v>
      </c>
      <c r="S17" t="s">
        <v>18</v>
      </c>
      <c r="T17" t="s">
        <v>19</v>
      </c>
      <c r="U17" t="str">
        <f>IF(COUNTIF(A:A, A17)&gt;=3, "Yes", "No")</f>
        <v>No</v>
      </c>
    </row>
    <row r="18" spans="1:21" x14ac:dyDescent="0.3">
      <c r="A18">
        <v>70</v>
      </c>
      <c r="B18" t="s">
        <v>71</v>
      </c>
      <c r="C18" t="s">
        <v>72</v>
      </c>
      <c r="D18" t="s">
        <v>73</v>
      </c>
      <c r="E18">
        <v>61476</v>
      </c>
      <c r="F18" s="4">
        <v>0.34100000000000003</v>
      </c>
      <c r="G18" t="s">
        <v>316</v>
      </c>
      <c r="H18">
        <v>268075</v>
      </c>
      <c r="I18">
        <v>180523</v>
      </c>
      <c r="J18">
        <v>16087</v>
      </c>
      <c r="K18" s="4">
        <v>8.9113298582452094E-2</v>
      </c>
      <c r="L18" s="4">
        <v>0.67340483073766666</v>
      </c>
      <c r="M18" t="s">
        <v>74</v>
      </c>
      <c r="N18">
        <v>17756</v>
      </c>
      <c r="O18" s="4">
        <v>9.8000000000000004E-2</v>
      </c>
      <c r="P18" t="s">
        <v>338</v>
      </c>
      <c r="Q18">
        <v>5223</v>
      </c>
      <c r="R18" s="4">
        <v>2.8932601385972982E-2</v>
      </c>
      <c r="S18" t="s">
        <v>18</v>
      </c>
      <c r="T18" t="s">
        <v>19</v>
      </c>
      <c r="U18" t="str">
        <f>IF(COUNTIF(A:A, A18)&gt;=3, "Yes", "No")</f>
        <v>No</v>
      </c>
    </row>
    <row r="19" spans="1:21" x14ac:dyDescent="0.3">
      <c r="A19">
        <v>76</v>
      </c>
      <c r="B19" t="s">
        <v>75</v>
      </c>
      <c r="C19" t="s">
        <v>76</v>
      </c>
      <c r="D19" t="s">
        <v>77</v>
      </c>
      <c r="E19">
        <v>55666</v>
      </c>
      <c r="F19" s="4">
        <v>0.31900000000000001</v>
      </c>
      <c r="G19" t="s">
        <v>316</v>
      </c>
      <c r="H19">
        <v>247076</v>
      </c>
      <c r="I19">
        <v>174289</v>
      </c>
      <c r="J19">
        <v>10440</v>
      </c>
      <c r="K19" s="4">
        <v>5.9900510072351087E-2</v>
      </c>
      <c r="L19" s="4">
        <v>0.70540643364794642</v>
      </c>
      <c r="M19" t="s">
        <v>78</v>
      </c>
      <c r="N19">
        <v>41330</v>
      </c>
      <c r="O19" s="4">
        <v>0.23699999999999999</v>
      </c>
      <c r="P19" t="s">
        <v>338</v>
      </c>
      <c r="Q19">
        <v>30010</v>
      </c>
      <c r="R19" s="4">
        <v>0.1721852784742583</v>
      </c>
      <c r="S19" t="s">
        <v>18</v>
      </c>
      <c r="T19" t="s">
        <v>19</v>
      </c>
      <c r="U19" t="str">
        <f>IF(COUNTIF(A:A, A19)&gt;=3, "Yes", "No")</f>
        <v>No</v>
      </c>
    </row>
    <row r="20" spans="1:21" x14ac:dyDescent="0.3">
      <c r="A20">
        <v>78</v>
      </c>
      <c r="B20" t="s">
        <v>76</v>
      </c>
      <c r="C20" t="s">
        <v>76</v>
      </c>
      <c r="D20" t="s">
        <v>79</v>
      </c>
      <c r="E20">
        <v>56370</v>
      </c>
      <c r="F20" s="4">
        <v>0.34699999999999998</v>
      </c>
      <c r="G20" t="s">
        <v>316</v>
      </c>
      <c r="H20">
        <v>316167</v>
      </c>
      <c r="I20">
        <v>162508</v>
      </c>
      <c r="J20">
        <v>19875</v>
      </c>
      <c r="K20" s="4">
        <v>0.12230167130233589</v>
      </c>
      <c r="L20" s="4">
        <v>0.5139941866165666</v>
      </c>
      <c r="M20" t="s">
        <v>80</v>
      </c>
      <c r="N20">
        <v>26352</v>
      </c>
      <c r="O20" s="4">
        <v>0.16200000000000001</v>
      </c>
      <c r="P20" t="s">
        <v>338</v>
      </c>
      <c r="Q20">
        <v>7702</v>
      </c>
      <c r="R20" s="4">
        <v>4.7394589804809609E-2</v>
      </c>
      <c r="S20" t="s">
        <v>18</v>
      </c>
      <c r="T20" t="s">
        <v>19</v>
      </c>
      <c r="U20" t="str">
        <f>IF(COUNTIF(A:A, A20)&gt;=3, "Yes", "No")</f>
        <v>No</v>
      </c>
    </row>
    <row r="21" spans="1:21" x14ac:dyDescent="0.3">
      <c r="A21">
        <v>89</v>
      </c>
      <c r="B21" t="s">
        <v>81</v>
      </c>
      <c r="C21" t="s">
        <v>82</v>
      </c>
      <c r="D21" t="s">
        <v>83</v>
      </c>
      <c r="E21">
        <v>63534</v>
      </c>
      <c r="F21" s="4">
        <v>0.372</v>
      </c>
      <c r="G21" t="s">
        <v>338</v>
      </c>
      <c r="H21">
        <v>242163</v>
      </c>
      <c r="I21">
        <v>170915</v>
      </c>
      <c r="J21">
        <v>11120</v>
      </c>
      <c r="K21" s="4">
        <v>6.5061580317701775E-2</v>
      </c>
      <c r="L21" s="4">
        <v>0.7057849465029753</v>
      </c>
      <c r="M21" t="s">
        <v>84</v>
      </c>
      <c r="N21">
        <v>16688</v>
      </c>
      <c r="O21" s="4">
        <v>9.8000000000000004E-2</v>
      </c>
      <c r="P21" t="s">
        <v>747</v>
      </c>
      <c r="Q21">
        <v>900</v>
      </c>
      <c r="R21" s="4">
        <v>5.2657753854255043E-3</v>
      </c>
      <c r="S21" t="s">
        <v>18</v>
      </c>
      <c r="T21" t="s">
        <v>19</v>
      </c>
      <c r="U21" t="str">
        <f>IF(COUNTIF(A:A, A21)&gt;=3, "Yes", "No")</f>
        <v>No</v>
      </c>
    </row>
    <row r="22" spans="1:21" x14ac:dyDescent="0.3">
      <c r="A22">
        <v>96</v>
      </c>
      <c r="B22" t="s">
        <v>85</v>
      </c>
      <c r="C22" t="s">
        <v>85</v>
      </c>
      <c r="D22" t="s">
        <v>86</v>
      </c>
      <c r="E22">
        <v>66021</v>
      </c>
      <c r="F22" s="4">
        <v>0.40600000000000003</v>
      </c>
      <c r="G22" t="s">
        <v>328</v>
      </c>
      <c r="H22">
        <v>268357</v>
      </c>
      <c r="I22">
        <v>162647</v>
      </c>
      <c r="J22">
        <v>20523</v>
      </c>
      <c r="K22" s="4">
        <v>0.12618123912522211</v>
      </c>
      <c r="L22" s="4">
        <v>0.60608443230472842</v>
      </c>
      <c r="M22" t="s">
        <v>87</v>
      </c>
      <c r="N22">
        <v>30726</v>
      </c>
      <c r="O22" s="4">
        <v>0.189</v>
      </c>
      <c r="P22" t="s">
        <v>316</v>
      </c>
      <c r="Q22">
        <v>18075</v>
      </c>
      <c r="R22" s="4">
        <v>0.1111302391067773</v>
      </c>
      <c r="S22" t="s">
        <v>18</v>
      </c>
      <c r="T22" t="s">
        <v>19</v>
      </c>
      <c r="U22" t="str">
        <f>IF(COUNTIF(A:A, A22)&gt;=3, "Yes", "No")</f>
        <v>No</v>
      </c>
    </row>
    <row r="23" spans="1:21" x14ac:dyDescent="0.3">
      <c r="A23">
        <v>97</v>
      </c>
      <c r="B23" t="s">
        <v>88</v>
      </c>
      <c r="C23" t="s">
        <v>85</v>
      </c>
      <c r="D23" t="s">
        <v>89</v>
      </c>
      <c r="E23">
        <v>80404</v>
      </c>
      <c r="F23" s="4">
        <v>0.37</v>
      </c>
      <c r="G23" t="s">
        <v>338</v>
      </c>
      <c r="H23">
        <v>311762</v>
      </c>
      <c r="I23">
        <v>217326</v>
      </c>
      <c r="J23">
        <v>18880</v>
      </c>
      <c r="K23" s="4">
        <v>8.6874096978732412E-2</v>
      </c>
      <c r="L23" s="4">
        <v>0.6970894464367049</v>
      </c>
      <c r="M23" t="s">
        <v>90</v>
      </c>
      <c r="N23">
        <v>48703</v>
      </c>
      <c r="O23" s="4">
        <v>0.224</v>
      </c>
      <c r="P23" t="s">
        <v>341</v>
      </c>
      <c r="Q23">
        <v>42558</v>
      </c>
      <c r="R23" s="4">
        <v>0.19582562601805581</v>
      </c>
      <c r="S23" t="s">
        <v>18</v>
      </c>
      <c r="T23" t="s">
        <v>19</v>
      </c>
      <c r="U23" t="str">
        <f>IF(COUNTIF(A:A, A23)&gt;=3, "Yes", "No")</f>
        <v>No</v>
      </c>
    </row>
    <row r="24" spans="1:21" x14ac:dyDescent="0.3">
      <c r="A24">
        <v>99</v>
      </c>
      <c r="B24" t="s">
        <v>91</v>
      </c>
      <c r="C24" t="s">
        <v>92</v>
      </c>
      <c r="D24" t="s">
        <v>93</v>
      </c>
      <c r="E24">
        <v>42702</v>
      </c>
      <c r="F24" s="4">
        <v>0.25700000000000001</v>
      </c>
      <c r="G24" t="s">
        <v>338</v>
      </c>
      <c r="H24">
        <v>243336</v>
      </c>
      <c r="I24">
        <v>166014</v>
      </c>
      <c r="J24">
        <v>11502</v>
      </c>
      <c r="K24" s="4">
        <v>6.9283313455491699E-2</v>
      </c>
      <c r="L24" s="4">
        <v>0.68224183844560604</v>
      </c>
      <c r="M24" t="s">
        <v>94</v>
      </c>
      <c r="N24">
        <v>30161</v>
      </c>
      <c r="O24" s="4">
        <v>0.182</v>
      </c>
      <c r="P24" t="s">
        <v>316</v>
      </c>
      <c r="Q24">
        <v>7806</v>
      </c>
      <c r="R24" s="4">
        <v>4.7020130832339441E-2</v>
      </c>
      <c r="S24" t="s">
        <v>18</v>
      </c>
      <c r="T24" t="s">
        <v>19</v>
      </c>
      <c r="U24" t="str">
        <f>IF(COUNTIF(A:A, A24)&gt;=3, "Yes", "No")</f>
        <v>No</v>
      </c>
    </row>
    <row r="25" spans="1:21" x14ac:dyDescent="0.3">
      <c r="A25">
        <v>102</v>
      </c>
      <c r="B25" t="s">
        <v>95</v>
      </c>
      <c r="C25" t="s">
        <v>92</v>
      </c>
      <c r="D25" t="s">
        <v>96</v>
      </c>
      <c r="E25">
        <v>56242</v>
      </c>
      <c r="F25" s="4">
        <v>0.36899999999999999</v>
      </c>
      <c r="G25" t="s">
        <v>328</v>
      </c>
      <c r="H25">
        <v>245459</v>
      </c>
      <c r="I25">
        <v>152311</v>
      </c>
      <c r="J25">
        <v>18908</v>
      </c>
      <c r="K25" s="4">
        <v>0.1241407383577023</v>
      </c>
      <c r="L25" s="4">
        <v>0.62051503509751116</v>
      </c>
      <c r="M25" t="s">
        <v>97</v>
      </c>
      <c r="N25">
        <v>35908</v>
      </c>
      <c r="O25" s="4">
        <v>0.23599999999999999</v>
      </c>
      <c r="P25" t="s">
        <v>465</v>
      </c>
      <c r="Q25">
        <v>30957</v>
      </c>
      <c r="R25" s="4">
        <v>0.20324861631792851</v>
      </c>
      <c r="S25" t="s">
        <v>18</v>
      </c>
      <c r="T25" t="s">
        <v>19</v>
      </c>
      <c r="U25" t="str">
        <f>IF(COUNTIF(A:A, A25)&gt;=3, "Yes", "No")</f>
        <v>No</v>
      </c>
    </row>
    <row r="26" spans="1:21" x14ac:dyDescent="0.3">
      <c r="A26">
        <v>107</v>
      </c>
      <c r="B26" t="s">
        <v>98</v>
      </c>
      <c r="C26" t="s">
        <v>99</v>
      </c>
      <c r="D26" t="s">
        <v>100</v>
      </c>
      <c r="E26">
        <v>49965</v>
      </c>
      <c r="F26" s="4">
        <v>0.36799999999999999</v>
      </c>
      <c r="G26" t="s">
        <v>338</v>
      </c>
      <c r="H26">
        <v>250536</v>
      </c>
      <c r="I26">
        <v>135917</v>
      </c>
      <c r="J26">
        <v>8384</v>
      </c>
      <c r="K26" s="4">
        <v>6.1684704635917513E-2</v>
      </c>
      <c r="L26" s="4">
        <v>0.54250486955966404</v>
      </c>
      <c r="M26" t="s">
        <v>101</v>
      </c>
      <c r="N26">
        <v>33988</v>
      </c>
      <c r="O26" s="4">
        <v>0.25</v>
      </c>
      <c r="P26" t="s">
        <v>328</v>
      </c>
      <c r="Q26">
        <v>30826</v>
      </c>
      <c r="R26" s="4">
        <v>0.2268001795213255</v>
      </c>
      <c r="S26" t="s">
        <v>18</v>
      </c>
      <c r="T26" t="s">
        <v>19</v>
      </c>
      <c r="U26" t="str">
        <f>IF(COUNTIF(A:A, A26)&gt;=3, "Yes", "No")</f>
        <v>Yes</v>
      </c>
    </row>
    <row r="27" spans="1:21" x14ac:dyDescent="0.3">
      <c r="A27">
        <v>109</v>
      </c>
      <c r="B27" t="s">
        <v>102</v>
      </c>
      <c r="C27" t="s">
        <v>99</v>
      </c>
      <c r="D27" t="s">
        <v>103</v>
      </c>
      <c r="E27">
        <v>48190</v>
      </c>
      <c r="F27" s="4">
        <v>0.38600000000000001</v>
      </c>
      <c r="G27" t="s">
        <v>316</v>
      </c>
      <c r="H27">
        <v>236756</v>
      </c>
      <c r="I27">
        <v>125020</v>
      </c>
      <c r="J27">
        <v>15225</v>
      </c>
      <c r="K27" s="4">
        <v>0.1217805151175812</v>
      </c>
      <c r="L27" s="4">
        <v>0.52805419925999764</v>
      </c>
      <c r="M27" t="s">
        <v>104</v>
      </c>
      <c r="N27">
        <v>17276</v>
      </c>
      <c r="O27" s="4">
        <v>0.13800000000000001</v>
      </c>
      <c r="P27" t="s">
        <v>338</v>
      </c>
      <c r="Q27">
        <v>4705</v>
      </c>
      <c r="R27" s="4">
        <v>3.763397856342985E-2</v>
      </c>
      <c r="S27" t="s">
        <v>18</v>
      </c>
      <c r="T27" t="s">
        <v>19</v>
      </c>
      <c r="U27" t="str">
        <f>IF(COUNTIF(A:A, A27)&gt;=3, "Yes", "No")</f>
        <v>No</v>
      </c>
    </row>
    <row r="28" spans="1:21" x14ac:dyDescent="0.3">
      <c r="A28">
        <v>110</v>
      </c>
      <c r="B28" t="s">
        <v>105</v>
      </c>
      <c r="C28" t="s">
        <v>99</v>
      </c>
      <c r="D28" t="s">
        <v>106</v>
      </c>
      <c r="E28">
        <v>64179</v>
      </c>
      <c r="F28" s="4">
        <v>0.40400000000000003</v>
      </c>
      <c r="G28" t="s">
        <v>341</v>
      </c>
      <c r="H28">
        <v>230197</v>
      </c>
      <c r="I28">
        <v>159028</v>
      </c>
      <c r="J28">
        <v>13662</v>
      </c>
      <c r="K28" s="4">
        <v>8.5909399602585715E-2</v>
      </c>
      <c r="L28" s="4">
        <v>0.69083437229850952</v>
      </c>
      <c r="M28" t="s">
        <v>107</v>
      </c>
      <c r="N28">
        <v>24778</v>
      </c>
      <c r="O28" s="4">
        <v>0.156</v>
      </c>
      <c r="P28" t="s">
        <v>465</v>
      </c>
      <c r="Q28">
        <v>16853</v>
      </c>
      <c r="R28" s="4">
        <v>0.1059750484191463</v>
      </c>
      <c r="S28" t="s">
        <v>18</v>
      </c>
      <c r="T28" t="s">
        <v>19</v>
      </c>
      <c r="U28" t="str">
        <f>IF(COUNTIF(A:A, A28)&gt;=3, "Yes", "No")</f>
        <v>Yes</v>
      </c>
    </row>
    <row r="29" spans="1:21" x14ac:dyDescent="0.3">
      <c r="A29">
        <v>111</v>
      </c>
      <c r="B29" t="s">
        <v>108</v>
      </c>
      <c r="C29" t="s">
        <v>99</v>
      </c>
      <c r="D29" t="s">
        <v>109</v>
      </c>
      <c r="E29">
        <v>53067</v>
      </c>
      <c r="F29" s="4">
        <v>0.35699999999999998</v>
      </c>
      <c r="G29" t="s">
        <v>338</v>
      </c>
      <c r="H29">
        <v>241146</v>
      </c>
      <c r="I29">
        <v>148548</v>
      </c>
      <c r="J29">
        <v>23499</v>
      </c>
      <c r="K29" s="4">
        <v>0.1581912917036917</v>
      </c>
      <c r="L29" s="4">
        <v>0.61600855913015351</v>
      </c>
      <c r="M29" t="s">
        <v>110</v>
      </c>
      <c r="N29">
        <v>23786</v>
      </c>
      <c r="O29" s="4">
        <v>0.16</v>
      </c>
      <c r="P29" t="s">
        <v>338</v>
      </c>
      <c r="Q29">
        <v>6459</v>
      </c>
      <c r="R29" s="4">
        <v>4.3480895064221668E-2</v>
      </c>
      <c r="S29" t="s">
        <v>18</v>
      </c>
      <c r="T29" t="s">
        <v>19</v>
      </c>
      <c r="U29" t="str">
        <f>IF(COUNTIF(A:A, A29)&gt;=3, "Yes", "No")</f>
        <v>No</v>
      </c>
    </row>
    <row r="30" spans="1:21" x14ac:dyDescent="0.3">
      <c r="A30">
        <v>114</v>
      </c>
      <c r="B30" t="s">
        <v>111</v>
      </c>
      <c r="C30" t="s">
        <v>112</v>
      </c>
      <c r="D30" t="s">
        <v>113</v>
      </c>
      <c r="E30">
        <v>71157</v>
      </c>
      <c r="F30" s="4">
        <v>0.47</v>
      </c>
      <c r="G30" t="s">
        <v>747</v>
      </c>
      <c r="H30">
        <v>241115</v>
      </c>
      <c r="I30">
        <v>151269</v>
      </c>
      <c r="J30">
        <v>17919</v>
      </c>
      <c r="K30" s="4">
        <v>0.11845784661761501</v>
      </c>
      <c r="L30" s="4">
        <v>0.62737283039213654</v>
      </c>
      <c r="M30" t="s">
        <v>114</v>
      </c>
      <c r="N30">
        <v>23237</v>
      </c>
      <c r="O30" s="4">
        <v>0.154</v>
      </c>
      <c r="P30" t="s">
        <v>751</v>
      </c>
      <c r="Q30">
        <v>22203</v>
      </c>
      <c r="R30" s="4">
        <v>0.1467782559546239</v>
      </c>
      <c r="S30" t="s">
        <v>18</v>
      </c>
      <c r="T30" t="s">
        <v>19</v>
      </c>
      <c r="U30" t="str">
        <f>IF(COUNTIF(A:A, A30)&gt;=3, "Yes", "No")</f>
        <v>No</v>
      </c>
    </row>
    <row r="31" spans="1:21" x14ac:dyDescent="0.3">
      <c r="A31">
        <v>118</v>
      </c>
      <c r="B31" t="s">
        <v>115</v>
      </c>
      <c r="C31" t="s">
        <v>112</v>
      </c>
      <c r="D31" t="s">
        <v>116</v>
      </c>
      <c r="E31">
        <v>57655</v>
      </c>
      <c r="F31" s="4">
        <v>0.36499999999999999</v>
      </c>
      <c r="G31" t="s">
        <v>338</v>
      </c>
      <c r="H31">
        <v>236866</v>
      </c>
      <c r="I31">
        <v>158083</v>
      </c>
      <c r="J31">
        <v>18310</v>
      </c>
      <c r="K31" s="4">
        <v>0.11582523104951201</v>
      </c>
      <c r="L31" s="4">
        <v>0.66739422289395689</v>
      </c>
      <c r="M31" t="s">
        <v>117</v>
      </c>
      <c r="N31">
        <v>36261</v>
      </c>
      <c r="O31" s="4">
        <v>0.22900000000000001</v>
      </c>
      <c r="P31" t="s">
        <v>318</v>
      </c>
      <c r="Q31">
        <v>20813</v>
      </c>
      <c r="R31" s="4">
        <v>0.13165868562717051</v>
      </c>
      <c r="S31" t="s">
        <v>18</v>
      </c>
      <c r="T31" t="s">
        <v>19</v>
      </c>
      <c r="U31" t="str">
        <f>IF(COUNTIF(A:A, A31)&gt;=3, "Yes", "No")</f>
        <v>No</v>
      </c>
    </row>
    <row r="32" spans="1:21" x14ac:dyDescent="0.3">
      <c r="A32">
        <v>123</v>
      </c>
      <c r="B32" t="s">
        <v>118</v>
      </c>
      <c r="C32" t="s">
        <v>112</v>
      </c>
      <c r="D32" t="s">
        <v>119</v>
      </c>
      <c r="E32">
        <v>47924</v>
      </c>
      <c r="F32" s="4">
        <v>0.34399999999999997</v>
      </c>
      <c r="G32" t="s">
        <v>465</v>
      </c>
      <c r="H32">
        <v>287308</v>
      </c>
      <c r="I32">
        <v>139372</v>
      </c>
      <c r="J32">
        <v>18735</v>
      </c>
      <c r="K32" s="4">
        <v>0.1344244181040668</v>
      </c>
      <c r="L32" s="4">
        <v>0.48509613376585409</v>
      </c>
      <c r="M32" t="s">
        <v>120</v>
      </c>
      <c r="N32">
        <v>20182</v>
      </c>
      <c r="O32" s="4">
        <v>0.14499999999999999</v>
      </c>
      <c r="P32" t="s">
        <v>316</v>
      </c>
      <c r="Q32">
        <v>5919</v>
      </c>
      <c r="R32" s="4">
        <v>4.2469075567545853E-2</v>
      </c>
      <c r="S32" t="s">
        <v>18</v>
      </c>
      <c r="T32" t="s">
        <v>19</v>
      </c>
      <c r="U32" t="str">
        <f>IF(COUNTIF(A:A, A32)&gt;=3, "Yes", "No")</f>
        <v>No</v>
      </c>
    </row>
    <row r="33" spans="1:21" x14ac:dyDescent="0.3">
      <c r="A33">
        <v>126</v>
      </c>
      <c r="B33" t="s">
        <v>121</v>
      </c>
      <c r="C33" t="s">
        <v>112</v>
      </c>
      <c r="D33" t="s">
        <v>122</v>
      </c>
      <c r="E33">
        <v>45761</v>
      </c>
      <c r="F33" s="4">
        <v>0.38700000000000001</v>
      </c>
      <c r="G33" t="s">
        <v>328</v>
      </c>
      <c r="H33">
        <v>221855</v>
      </c>
      <c r="I33">
        <v>118159</v>
      </c>
      <c r="J33">
        <v>10120</v>
      </c>
      <c r="K33" s="4">
        <v>8.5647305749033079E-2</v>
      </c>
      <c r="L33" s="4">
        <v>0.53259561425255231</v>
      </c>
      <c r="M33" t="s">
        <v>123</v>
      </c>
      <c r="N33">
        <v>22783</v>
      </c>
      <c r="O33" s="4">
        <v>0.193</v>
      </c>
      <c r="P33" t="s">
        <v>465</v>
      </c>
      <c r="Q33">
        <v>17272</v>
      </c>
      <c r="R33" s="4">
        <v>0.14617591550368569</v>
      </c>
      <c r="S33" t="s">
        <v>18</v>
      </c>
      <c r="T33" t="s">
        <v>19</v>
      </c>
      <c r="U33" t="str">
        <f>IF(COUNTIF(A:A, A33)&gt;=3, "Yes", "No")</f>
        <v>No</v>
      </c>
    </row>
    <row r="34" spans="1:21" x14ac:dyDescent="0.3">
      <c r="A34">
        <v>128</v>
      </c>
      <c r="B34" t="s">
        <v>124</v>
      </c>
      <c r="C34" t="s">
        <v>125</v>
      </c>
      <c r="D34" t="s">
        <v>126</v>
      </c>
      <c r="E34">
        <v>62530</v>
      </c>
      <c r="F34" s="4">
        <v>0.47299999999999998</v>
      </c>
      <c r="G34" t="s">
        <v>748</v>
      </c>
      <c r="H34">
        <v>236251</v>
      </c>
      <c r="I34">
        <v>132247</v>
      </c>
      <c r="J34">
        <v>16180</v>
      </c>
      <c r="K34" s="4">
        <v>0.1223468207218311</v>
      </c>
      <c r="L34" s="4">
        <v>0.55977329196490178</v>
      </c>
      <c r="M34" t="s">
        <v>127</v>
      </c>
      <c r="N34">
        <v>17955</v>
      </c>
      <c r="O34" s="4">
        <v>0.13600000000000001</v>
      </c>
      <c r="P34" t="s">
        <v>328</v>
      </c>
      <c r="Q34">
        <v>12543</v>
      </c>
      <c r="R34" s="4">
        <v>9.4845251688129031E-2</v>
      </c>
      <c r="S34" t="s">
        <v>18</v>
      </c>
      <c r="T34" t="s">
        <v>19</v>
      </c>
      <c r="U34" t="str">
        <f>IF(COUNTIF(A:A, A34)&gt;=3, "Yes", "No")</f>
        <v>No</v>
      </c>
    </row>
    <row r="35" spans="1:21" x14ac:dyDescent="0.3">
      <c r="A35">
        <v>130</v>
      </c>
      <c r="B35" t="s">
        <v>128</v>
      </c>
      <c r="C35" t="s">
        <v>125</v>
      </c>
      <c r="D35" t="s">
        <v>129</v>
      </c>
      <c r="E35">
        <v>55665</v>
      </c>
      <c r="F35" s="4">
        <v>0.41799999999999998</v>
      </c>
      <c r="G35" t="s">
        <v>316</v>
      </c>
      <c r="H35">
        <v>235982</v>
      </c>
      <c r="I35">
        <v>133165</v>
      </c>
      <c r="J35">
        <v>20971</v>
      </c>
      <c r="K35" s="4">
        <v>0.15748132016671049</v>
      </c>
      <c r="L35" s="4">
        <v>0.56430151452229405</v>
      </c>
      <c r="M35" t="s">
        <v>130</v>
      </c>
      <c r="N35">
        <v>30683</v>
      </c>
      <c r="O35" s="4">
        <v>0.23</v>
      </c>
      <c r="P35" t="s">
        <v>338</v>
      </c>
      <c r="Q35">
        <v>26123</v>
      </c>
      <c r="R35" s="4">
        <v>0.19617016483310179</v>
      </c>
      <c r="S35" t="s">
        <v>18</v>
      </c>
      <c r="T35" t="s">
        <v>19</v>
      </c>
      <c r="U35" t="str">
        <f>IF(COUNTIF(A:A, A35)&gt;=3, "Yes", "No")</f>
        <v>No</v>
      </c>
    </row>
    <row r="36" spans="1:21" x14ac:dyDescent="0.3">
      <c r="A36">
        <v>131</v>
      </c>
      <c r="B36" t="s">
        <v>131</v>
      </c>
      <c r="C36" t="s">
        <v>125</v>
      </c>
      <c r="D36" t="s">
        <v>132</v>
      </c>
      <c r="E36">
        <v>53727</v>
      </c>
      <c r="F36" s="4">
        <v>0.39</v>
      </c>
      <c r="G36" t="s">
        <v>541</v>
      </c>
      <c r="H36">
        <v>243557</v>
      </c>
      <c r="I36">
        <v>137939</v>
      </c>
      <c r="J36">
        <v>13078</v>
      </c>
      <c r="K36" s="4">
        <v>9.4810024721072361E-2</v>
      </c>
      <c r="L36" s="4">
        <v>0.56635202437211818</v>
      </c>
      <c r="M36" t="s">
        <v>133</v>
      </c>
      <c r="N36">
        <v>18104</v>
      </c>
      <c r="O36" s="4">
        <v>0.13100000000000001</v>
      </c>
      <c r="P36" t="s">
        <v>465</v>
      </c>
      <c r="Q36">
        <v>10744</v>
      </c>
      <c r="R36" s="4">
        <v>7.7889501881266351E-2</v>
      </c>
      <c r="S36" t="s">
        <v>18</v>
      </c>
      <c r="T36" t="s">
        <v>19</v>
      </c>
      <c r="U36" t="str">
        <f>IF(COUNTIF(A:A, A36)&gt;=3, "Yes", "No")</f>
        <v>No</v>
      </c>
    </row>
    <row r="37" spans="1:21" x14ac:dyDescent="0.3">
      <c r="A37">
        <v>135</v>
      </c>
      <c r="B37" t="s">
        <v>134</v>
      </c>
      <c r="C37" t="s">
        <v>125</v>
      </c>
      <c r="D37" t="s">
        <v>135</v>
      </c>
      <c r="E37">
        <v>58334</v>
      </c>
      <c r="F37" s="4">
        <v>0.40500000000000003</v>
      </c>
      <c r="G37" t="s">
        <v>328</v>
      </c>
      <c r="H37">
        <v>221737</v>
      </c>
      <c r="I37">
        <v>144090</v>
      </c>
      <c r="J37">
        <v>12269</v>
      </c>
      <c r="K37" s="4">
        <v>8.5148171281837742E-2</v>
      </c>
      <c r="L37" s="4">
        <v>0.64982389046482991</v>
      </c>
      <c r="M37" t="s">
        <v>136</v>
      </c>
      <c r="N37">
        <v>17438</v>
      </c>
      <c r="O37" s="4">
        <v>0.121</v>
      </c>
      <c r="P37" t="s">
        <v>465</v>
      </c>
      <c r="Q37">
        <v>13175</v>
      </c>
      <c r="R37" s="4">
        <v>9.1435908112984937E-2</v>
      </c>
      <c r="S37" t="s">
        <v>18</v>
      </c>
      <c r="T37" t="s">
        <v>19</v>
      </c>
      <c r="U37" t="str">
        <f>IF(COUNTIF(A:A, A37)&gt;=3, "Yes", "No")</f>
        <v>No</v>
      </c>
    </row>
    <row r="38" spans="1:21" x14ac:dyDescent="0.3">
      <c r="A38">
        <v>141</v>
      </c>
      <c r="B38" t="s">
        <v>137</v>
      </c>
      <c r="C38" t="s">
        <v>125</v>
      </c>
      <c r="D38" t="s">
        <v>138</v>
      </c>
      <c r="E38">
        <v>45257</v>
      </c>
      <c r="F38" s="4">
        <v>0.42399999999999999</v>
      </c>
      <c r="G38" t="s">
        <v>318</v>
      </c>
      <c r="H38">
        <v>287964</v>
      </c>
      <c r="I38">
        <v>106778</v>
      </c>
      <c r="J38">
        <v>7538</v>
      </c>
      <c r="K38" s="4">
        <v>7.0595066399445572E-2</v>
      </c>
      <c r="L38" s="4">
        <v>0.37080329485630148</v>
      </c>
      <c r="M38" t="s">
        <v>139</v>
      </c>
      <c r="N38">
        <v>10030</v>
      </c>
      <c r="O38" s="4">
        <v>9.4E-2</v>
      </c>
      <c r="P38" t="s">
        <v>465</v>
      </c>
      <c r="Q38">
        <v>6331</v>
      </c>
      <c r="R38" s="4">
        <v>5.9291239768491627E-2</v>
      </c>
      <c r="S38" t="s">
        <v>18</v>
      </c>
      <c r="T38" t="s">
        <v>19</v>
      </c>
      <c r="U38" t="str">
        <f>IF(COUNTIF(A:A, A38)&gt;=3, "Yes", "No")</f>
        <v>No</v>
      </c>
    </row>
    <row r="39" spans="1:21" x14ac:dyDescent="0.3">
      <c r="A39">
        <v>144</v>
      </c>
      <c r="B39" t="s">
        <v>140</v>
      </c>
      <c r="C39" t="s">
        <v>125</v>
      </c>
      <c r="D39" t="s">
        <v>141</v>
      </c>
      <c r="E39">
        <v>51149</v>
      </c>
      <c r="F39" s="4">
        <v>0.41399999999999998</v>
      </c>
      <c r="G39" t="s">
        <v>465</v>
      </c>
      <c r="H39">
        <v>262111</v>
      </c>
      <c r="I39">
        <v>123633</v>
      </c>
      <c r="J39">
        <v>9507</v>
      </c>
      <c r="K39" s="4">
        <v>7.6896944990415175E-2</v>
      </c>
      <c r="L39" s="4">
        <v>0.47168184471464381</v>
      </c>
      <c r="M39" t="s">
        <v>142</v>
      </c>
      <c r="N39">
        <v>26546</v>
      </c>
      <c r="O39" s="4">
        <v>0.215</v>
      </c>
      <c r="P39" t="s">
        <v>316</v>
      </c>
      <c r="Q39">
        <v>25309</v>
      </c>
      <c r="R39" s="4">
        <v>0.20471071639449009</v>
      </c>
      <c r="S39" t="s">
        <v>18</v>
      </c>
      <c r="T39" t="s">
        <v>19</v>
      </c>
      <c r="U39" t="str">
        <f>IF(COUNTIF(A:A, A39)&gt;=3, "Yes", "No")</f>
        <v>No</v>
      </c>
    </row>
    <row r="40" spans="1:21" x14ac:dyDescent="0.3">
      <c r="A40">
        <v>145</v>
      </c>
      <c r="B40" t="s">
        <v>143</v>
      </c>
      <c r="C40" t="s">
        <v>125</v>
      </c>
      <c r="D40" t="s">
        <v>144</v>
      </c>
      <c r="E40">
        <v>62013</v>
      </c>
      <c r="F40" s="4">
        <v>0.42</v>
      </c>
      <c r="G40" t="s">
        <v>341</v>
      </c>
      <c r="H40">
        <v>328354</v>
      </c>
      <c r="I40">
        <v>147586</v>
      </c>
      <c r="J40">
        <v>10604</v>
      </c>
      <c r="K40" s="4">
        <v>7.1849633434065557E-2</v>
      </c>
      <c r="L40" s="4">
        <v>0.44947221596204101</v>
      </c>
      <c r="M40" t="s">
        <v>145</v>
      </c>
      <c r="N40">
        <v>27220</v>
      </c>
      <c r="O40" s="4">
        <v>0.184</v>
      </c>
      <c r="P40" t="s">
        <v>465</v>
      </c>
      <c r="Q40">
        <v>25551</v>
      </c>
      <c r="R40" s="4">
        <v>0.17312617727968779</v>
      </c>
      <c r="S40" t="s">
        <v>18</v>
      </c>
      <c r="T40" t="s">
        <v>19</v>
      </c>
      <c r="U40" t="str">
        <f>IF(COUNTIF(A:A, A40)&gt;=3, "Yes", "No")</f>
        <v>No</v>
      </c>
    </row>
    <row r="41" spans="1:21" x14ac:dyDescent="0.3">
      <c r="A41">
        <v>146</v>
      </c>
      <c r="B41" t="s">
        <v>146</v>
      </c>
      <c r="C41" t="s">
        <v>125</v>
      </c>
      <c r="D41" t="s">
        <v>147</v>
      </c>
      <c r="E41">
        <v>52373</v>
      </c>
      <c r="F41" s="4">
        <v>0.36</v>
      </c>
      <c r="G41" t="s">
        <v>328</v>
      </c>
      <c r="H41">
        <v>310341</v>
      </c>
      <c r="I41">
        <v>145342</v>
      </c>
      <c r="J41">
        <v>9041</v>
      </c>
      <c r="K41" s="4">
        <v>6.2205006123488053E-2</v>
      </c>
      <c r="L41" s="4">
        <v>0.46832999829220118</v>
      </c>
      <c r="M41" t="s">
        <v>148</v>
      </c>
      <c r="N41">
        <v>34018</v>
      </c>
      <c r="O41" s="4">
        <v>0.23400000000000001</v>
      </c>
      <c r="P41" t="s">
        <v>316</v>
      </c>
      <c r="Q41">
        <v>25171</v>
      </c>
      <c r="R41" s="4">
        <v>0.1731846266048355</v>
      </c>
      <c r="S41" t="s">
        <v>18</v>
      </c>
      <c r="T41" t="s">
        <v>19</v>
      </c>
      <c r="U41" t="str">
        <f>IF(COUNTIF(A:A, A41)&gt;=3, "Yes", "No")</f>
        <v>No</v>
      </c>
    </row>
    <row r="42" spans="1:21" x14ac:dyDescent="0.3">
      <c r="A42">
        <v>147</v>
      </c>
      <c r="B42" t="s">
        <v>149</v>
      </c>
      <c r="C42" t="s">
        <v>125</v>
      </c>
      <c r="D42" t="s">
        <v>150</v>
      </c>
      <c r="E42">
        <v>73502</v>
      </c>
      <c r="F42" s="4">
        <v>0.45400000000000001</v>
      </c>
      <c r="G42" t="s">
        <v>328</v>
      </c>
      <c r="H42">
        <v>318060</v>
      </c>
      <c r="I42">
        <v>162037</v>
      </c>
      <c r="J42">
        <v>32776</v>
      </c>
      <c r="K42" s="4">
        <v>0.20227478909138041</v>
      </c>
      <c r="L42" s="4">
        <v>0.50945419103313838</v>
      </c>
      <c r="M42" t="s">
        <v>151</v>
      </c>
      <c r="N42">
        <v>35914</v>
      </c>
      <c r="O42" s="4">
        <v>0.222</v>
      </c>
      <c r="P42" t="s">
        <v>465</v>
      </c>
      <c r="Q42">
        <v>31923</v>
      </c>
      <c r="R42" s="4">
        <v>0.19701055931669931</v>
      </c>
      <c r="S42" t="s">
        <v>18</v>
      </c>
      <c r="T42" t="s">
        <v>19</v>
      </c>
      <c r="U42" t="str">
        <f>IF(COUNTIF(A:A, A42)&gt;=3, "Yes", "No")</f>
        <v>No</v>
      </c>
    </row>
    <row r="43" spans="1:21" x14ac:dyDescent="0.3">
      <c r="A43">
        <v>151</v>
      </c>
      <c r="B43" t="s">
        <v>152</v>
      </c>
      <c r="C43" t="s">
        <v>125</v>
      </c>
      <c r="D43" t="s">
        <v>153</v>
      </c>
      <c r="E43">
        <v>59685</v>
      </c>
      <c r="F43" s="4">
        <v>0.40799999999999997</v>
      </c>
      <c r="G43" t="s">
        <v>341</v>
      </c>
      <c r="H43">
        <v>313327</v>
      </c>
      <c r="I43">
        <v>146342</v>
      </c>
      <c r="J43">
        <v>12873</v>
      </c>
      <c r="K43" s="4">
        <v>8.7965177461015981E-2</v>
      </c>
      <c r="L43" s="4">
        <v>0.46705837671186973</v>
      </c>
      <c r="M43" t="s">
        <v>154</v>
      </c>
      <c r="N43">
        <v>19569</v>
      </c>
      <c r="O43" s="4">
        <v>0.13400000000000001</v>
      </c>
      <c r="P43" t="s">
        <v>465</v>
      </c>
      <c r="Q43">
        <v>5053</v>
      </c>
      <c r="R43" s="4">
        <v>3.4528706728075328E-2</v>
      </c>
      <c r="S43" t="s">
        <v>18</v>
      </c>
      <c r="T43" t="s">
        <v>19</v>
      </c>
      <c r="U43" t="str">
        <f>IF(COUNTIF(A:A, A43)&gt;=3, "Yes", "No")</f>
        <v>No</v>
      </c>
    </row>
    <row r="44" spans="1:21" x14ac:dyDescent="0.3">
      <c r="A44">
        <v>152</v>
      </c>
      <c r="B44" t="s">
        <v>155</v>
      </c>
      <c r="C44" t="s">
        <v>156</v>
      </c>
      <c r="D44" t="s">
        <v>157</v>
      </c>
      <c r="E44">
        <v>68926</v>
      </c>
      <c r="F44" s="4">
        <v>0.47399999999999998</v>
      </c>
      <c r="G44" t="s">
        <v>318</v>
      </c>
      <c r="H44">
        <v>300840</v>
      </c>
      <c r="I44">
        <v>145327</v>
      </c>
      <c r="J44">
        <v>30227</v>
      </c>
      <c r="K44" s="4">
        <v>0.20799300886965261</v>
      </c>
      <c r="L44" s="4">
        <v>0.48307073527456462</v>
      </c>
      <c r="M44" t="s">
        <v>158</v>
      </c>
      <c r="N44">
        <v>35119</v>
      </c>
      <c r="O44" s="4">
        <v>0.24199999999999999</v>
      </c>
      <c r="P44" t="s">
        <v>316</v>
      </c>
      <c r="Q44">
        <v>34324</v>
      </c>
      <c r="R44" s="4">
        <v>0.2361846043749613</v>
      </c>
      <c r="S44" t="s">
        <v>18</v>
      </c>
      <c r="T44" t="s">
        <v>19</v>
      </c>
      <c r="U44" t="str">
        <f>IF(COUNTIF(A:A, A44)&gt;=3, "Yes", "No")</f>
        <v>No</v>
      </c>
    </row>
    <row r="45" spans="1:21" x14ac:dyDescent="0.3">
      <c r="A45">
        <v>153</v>
      </c>
      <c r="B45" t="s">
        <v>159</v>
      </c>
      <c r="C45" t="s">
        <v>156</v>
      </c>
      <c r="D45" t="s">
        <v>160</v>
      </c>
      <c r="E45">
        <v>60069</v>
      </c>
      <c r="F45" s="4">
        <v>0.45700000000000002</v>
      </c>
      <c r="G45" t="s">
        <v>328</v>
      </c>
      <c r="H45">
        <v>275806</v>
      </c>
      <c r="I45">
        <v>131520</v>
      </c>
      <c r="J45">
        <v>16156</v>
      </c>
      <c r="K45" s="4">
        <v>0.1228406326034063</v>
      </c>
      <c r="L45" s="4">
        <v>0.47685692116922762</v>
      </c>
      <c r="M45" t="s">
        <v>161</v>
      </c>
      <c r="N45">
        <v>22241</v>
      </c>
      <c r="O45" s="4">
        <v>0.16900000000000001</v>
      </c>
      <c r="P45" t="s">
        <v>465</v>
      </c>
      <c r="Q45">
        <v>19580</v>
      </c>
      <c r="R45" s="4">
        <v>0.14887469586374699</v>
      </c>
      <c r="S45" t="s">
        <v>18</v>
      </c>
      <c r="T45" t="s">
        <v>19</v>
      </c>
      <c r="U45" t="str">
        <f>IF(COUNTIF(A:A, A45)&gt;=3, "Yes", "No")</f>
        <v>No</v>
      </c>
    </row>
    <row r="46" spans="1:21" x14ac:dyDescent="0.3">
      <c r="A46">
        <v>154</v>
      </c>
      <c r="B46" t="s">
        <v>162</v>
      </c>
      <c r="C46" t="s">
        <v>156</v>
      </c>
      <c r="D46" t="s">
        <v>163</v>
      </c>
      <c r="E46">
        <v>58310</v>
      </c>
      <c r="F46" s="4">
        <v>0.4</v>
      </c>
      <c r="G46" t="s">
        <v>465</v>
      </c>
      <c r="H46">
        <v>269399</v>
      </c>
      <c r="I46">
        <v>145783</v>
      </c>
      <c r="J46">
        <v>12985</v>
      </c>
      <c r="K46" s="4">
        <v>8.9070742130426733E-2</v>
      </c>
      <c r="L46" s="4">
        <v>0.54114157810533814</v>
      </c>
      <c r="M46" t="s">
        <v>164</v>
      </c>
      <c r="N46">
        <v>35883</v>
      </c>
      <c r="O46" s="4">
        <v>0.246</v>
      </c>
      <c r="P46" t="s">
        <v>328</v>
      </c>
      <c r="Q46">
        <v>34128</v>
      </c>
      <c r="R46" s="4">
        <v>0.2341013698442205</v>
      </c>
      <c r="S46" t="s">
        <v>18</v>
      </c>
      <c r="T46" t="s">
        <v>19</v>
      </c>
      <c r="U46" t="str">
        <f>IF(COUNTIF(A:A, A46)&gt;=3, "Yes", "No")</f>
        <v>No</v>
      </c>
    </row>
    <row r="47" spans="1:21" x14ac:dyDescent="0.3">
      <c r="A47">
        <v>155</v>
      </c>
      <c r="B47" t="s">
        <v>165</v>
      </c>
      <c r="C47" t="s">
        <v>156</v>
      </c>
      <c r="D47" t="s">
        <v>166</v>
      </c>
      <c r="E47">
        <v>65748</v>
      </c>
      <c r="F47" s="4">
        <v>0.44</v>
      </c>
      <c r="G47" t="s">
        <v>318</v>
      </c>
      <c r="H47">
        <v>301518</v>
      </c>
      <c r="I47">
        <v>149426</v>
      </c>
      <c r="J47">
        <v>27976</v>
      </c>
      <c r="K47" s="4">
        <v>0.18722310708979689</v>
      </c>
      <c r="L47" s="4">
        <v>0.49557903674075843</v>
      </c>
      <c r="M47" t="s">
        <v>167</v>
      </c>
      <c r="N47">
        <v>34630</v>
      </c>
      <c r="O47" s="4">
        <v>0.23200000000000001</v>
      </c>
      <c r="P47" t="s">
        <v>316</v>
      </c>
      <c r="Q47">
        <v>30924</v>
      </c>
      <c r="R47" s="4">
        <v>0.20695193607538179</v>
      </c>
      <c r="S47" t="s">
        <v>18</v>
      </c>
      <c r="T47" t="s">
        <v>19</v>
      </c>
      <c r="U47" t="str">
        <f>IF(COUNTIF(A:A, A47)&gt;=3, "Yes", "No")</f>
        <v>No</v>
      </c>
    </row>
    <row r="48" spans="1:21" x14ac:dyDescent="0.3">
      <c r="A48">
        <v>156</v>
      </c>
      <c r="B48" t="s">
        <v>168</v>
      </c>
      <c r="C48" t="s">
        <v>156</v>
      </c>
      <c r="D48" t="s">
        <v>169</v>
      </c>
      <c r="E48">
        <v>53125</v>
      </c>
      <c r="F48" s="4">
        <v>0.42899999999999999</v>
      </c>
      <c r="G48" t="s">
        <v>465</v>
      </c>
      <c r="H48">
        <v>236407</v>
      </c>
      <c r="I48">
        <v>123914</v>
      </c>
      <c r="J48">
        <v>20412</v>
      </c>
      <c r="K48" s="4">
        <v>0.1647271494746356</v>
      </c>
      <c r="L48" s="4">
        <v>0.52415537610984442</v>
      </c>
      <c r="M48" t="s">
        <v>170</v>
      </c>
      <c r="N48">
        <v>28129</v>
      </c>
      <c r="O48" s="4">
        <v>0.22700000000000001</v>
      </c>
      <c r="P48" t="s">
        <v>328</v>
      </c>
      <c r="Q48">
        <v>24268</v>
      </c>
      <c r="R48" s="4">
        <v>0.19584550575399071</v>
      </c>
      <c r="S48" t="s">
        <v>18</v>
      </c>
      <c r="T48" t="s">
        <v>19</v>
      </c>
      <c r="U48" t="str">
        <f>IF(COUNTIF(A:A, A48)&gt;=3, "Yes", "No")</f>
        <v>No</v>
      </c>
    </row>
    <row r="49" spans="1:21" x14ac:dyDescent="0.3">
      <c r="A49">
        <v>157</v>
      </c>
      <c r="B49" t="s">
        <v>171</v>
      </c>
      <c r="C49" t="s">
        <v>156</v>
      </c>
      <c r="D49" t="s">
        <v>172</v>
      </c>
      <c r="E49">
        <v>68302</v>
      </c>
      <c r="F49" s="4">
        <v>0.45900000000000002</v>
      </c>
      <c r="G49" t="s">
        <v>465</v>
      </c>
      <c r="H49">
        <v>283723</v>
      </c>
      <c r="I49">
        <v>148777</v>
      </c>
      <c r="J49">
        <v>30943</v>
      </c>
      <c r="K49" s="4">
        <v>0.20798241663698019</v>
      </c>
      <c r="L49" s="4">
        <v>0.52437412546744533</v>
      </c>
      <c r="M49" t="s">
        <v>173</v>
      </c>
      <c r="N49">
        <v>34467</v>
      </c>
      <c r="O49" s="4">
        <v>0.23200000000000001</v>
      </c>
      <c r="P49" t="s">
        <v>328</v>
      </c>
      <c r="Q49">
        <v>31437</v>
      </c>
      <c r="R49" s="4">
        <v>0.2113028223448517</v>
      </c>
      <c r="S49" t="s">
        <v>18</v>
      </c>
      <c r="T49" t="s">
        <v>19</v>
      </c>
      <c r="U49" t="str">
        <f>IF(COUNTIF(A:A, A49)&gt;=3, "Yes", "No")</f>
        <v>No</v>
      </c>
    </row>
    <row r="50" spans="1:21" x14ac:dyDescent="0.3">
      <c r="A50">
        <v>158</v>
      </c>
      <c r="B50" t="s">
        <v>174</v>
      </c>
      <c r="C50" t="s">
        <v>156</v>
      </c>
      <c r="D50" t="s">
        <v>175</v>
      </c>
      <c r="E50">
        <v>64318</v>
      </c>
      <c r="F50" s="4">
        <v>0.439</v>
      </c>
      <c r="G50" t="s">
        <v>328</v>
      </c>
      <c r="H50">
        <v>283536</v>
      </c>
      <c r="I50">
        <v>146427</v>
      </c>
      <c r="J50">
        <v>13775</v>
      </c>
      <c r="K50" s="4">
        <v>9.4074180308276481E-2</v>
      </c>
      <c r="L50" s="4">
        <v>0.51643177585915012</v>
      </c>
      <c r="M50" t="s">
        <v>176</v>
      </c>
      <c r="N50">
        <v>26934</v>
      </c>
      <c r="O50" s="4">
        <v>0.184</v>
      </c>
      <c r="P50" t="s">
        <v>465</v>
      </c>
      <c r="Q50">
        <v>25916</v>
      </c>
      <c r="R50" s="4">
        <v>0.17698921646964019</v>
      </c>
      <c r="S50" t="s">
        <v>18</v>
      </c>
      <c r="T50" t="s">
        <v>19</v>
      </c>
      <c r="U50" t="str">
        <f>IF(COUNTIF(A:A, A50)&gt;=3, "Yes", "No")</f>
        <v>No</v>
      </c>
    </row>
    <row r="51" spans="1:21" x14ac:dyDescent="0.3">
      <c r="A51">
        <v>160</v>
      </c>
      <c r="B51" t="s">
        <v>177</v>
      </c>
      <c r="C51" t="s">
        <v>156</v>
      </c>
      <c r="D51" t="s">
        <v>178</v>
      </c>
      <c r="E51">
        <v>50138</v>
      </c>
      <c r="F51" s="4">
        <v>0.42899999999999999</v>
      </c>
      <c r="G51" t="s">
        <v>316</v>
      </c>
      <c r="H51">
        <v>254551</v>
      </c>
      <c r="I51">
        <v>116826</v>
      </c>
      <c r="J51">
        <v>11306</v>
      </c>
      <c r="K51" s="4">
        <v>9.6776402513139195E-2</v>
      </c>
      <c r="L51" s="4">
        <v>0.45894928717624373</v>
      </c>
      <c r="M51" t="s">
        <v>179</v>
      </c>
      <c r="N51">
        <v>24091</v>
      </c>
      <c r="O51" s="4">
        <v>0.20599999999999999</v>
      </c>
      <c r="P51" t="s">
        <v>465</v>
      </c>
      <c r="Q51">
        <v>23141</v>
      </c>
      <c r="R51" s="4">
        <v>0.19808090664749289</v>
      </c>
      <c r="S51" t="s">
        <v>18</v>
      </c>
      <c r="T51" t="s">
        <v>19</v>
      </c>
      <c r="U51" t="str">
        <f>IF(COUNTIF(A:A, A51)&gt;=3, "Yes", "No")</f>
        <v>No</v>
      </c>
    </row>
    <row r="52" spans="1:21" x14ac:dyDescent="0.3">
      <c r="A52">
        <v>161</v>
      </c>
      <c r="B52" t="s">
        <v>180</v>
      </c>
      <c r="C52" t="s">
        <v>156</v>
      </c>
      <c r="D52" t="s">
        <v>181</v>
      </c>
      <c r="E52">
        <v>58687</v>
      </c>
      <c r="F52" s="4">
        <v>0.45700000000000002</v>
      </c>
      <c r="G52" t="s">
        <v>318</v>
      </c>
      <c r="H52">
        <v>288557</v>
      </c>
      <c r="I52">
        <v>128305</v>
      </c>
      <c r="J52">
        <v>16363</v>
      </c>
      <c r="K52" s="4">
        <v>0.1275320525310783</v>
      </c>
      <c r="L52" s="4">
        <v>0.4446435193046781</v>
      </c>
      <c r="M52" t="s">
        <v>182</v>
      </c>
      <c r="N52">
        <v>23268</v>
      </c>
      <c r="O52" s="4">
        <v>0.18099999999999999</v>
      </c>
      <c r="P52" t="s">
        <v>465</v>
      </c>
      <c r="Q52">
        <v>21729</v>
      </c>
      <c r="R52" s="4">
        <v>0.16935427302131639</v>
      </c>
      <c r="S52" t="s">
        <v>18</v>
      </c>
      <c r="T52" t="s">
        <v>19</v>
      </c>
      <c r="U52" t="str">
        <f>IF(COUNTIF(A:A, A52)&gt;=3, "Yes", "No")</f>
        <v>No</v>
      </c>
    </row>
    <row r="53" spans="1:21" x14ac:dyDescent="0.3">
      <c r="A53">
        <v>163</v>
      </c>
      <c r="B53" t="s">
        <v>183</v>
      </c>
      <c r="C53" t="s">
        <v>156</v>
      </c>
      <c r="D53" t="s">
        <v>184</v>
      </c>
      <c r="E53">
        <v>69117</v>
      </c>
      <c r="F53" s="4">
        <v>0.47399999999999998</v>
      </c>
      <c r="G53" t="s">
        <v>328</v>
      </c>
      <c r="H53">
        <v>303502</v>
      </c>
      <c r="I53">
        <v>145685</v>
      </c>
      <c r="J53">
        <v>24815</v>
      </c>
      <c r="K53" s="4">
        <v>0.17033325325187909</v>
      </c>
      <c r="L53" s="4">
        <v>0.48001331127966212</v>
      </c>
      <c r="M53" t="s">
        <v>185</v>
      </c>
      <c r="N53">
        <v>25982</v>
      </c>
      <c r="O53" s="4">
        <v>0.17799999999999999</v>
      </c>
      <c r="P53" t="s">
        <v>465</v>
      </c>
      <c r="Q53">
        <v>23697</v>
      </c>
      <c r="R53" s="4">
        <v>0.16265916189037991</v>
      </c>
      <c r="S53" t="s">
        <v>18</v>
      </c>
      <c r="T53" t="s">
        <v>19</v>
      </c>
      <c r="U53" t="str">
        <f>IF(COUNTIF(A:A, A53)&gt;=3, "Yes", "No")</f>
        <v>No</v>
      </c>
    </row>
    <row r="54" spans="1:21" x14ac:dyDescent="0.3">
      <c r="A54">
        <v>169</v>
      </c>
      <c r="B54" t="s">
        <v>186</v>
      </c>
      <c r="C54" t="s">
        <v>156</v>
      </c>
      <c r="D54" t="s">
        <v>187</v>
      </c>
      <c r="E54">
        <v>60343</v>
      </c>
      <c r="F54" s="4">
        <v>0.42199999999999999</v>
      </c>
      <c r="G54" t="s">
        <v>465</v>
      </c>
      <c r="H54">
        <v>305535</v>
      </c>
      <c r="I54">
        <v>142950</v>
      </c>
      <c r="J54">
        <v>26228</v>
      </c>
      <c r="K54" s="4">
        <v>0.1834767401189227</v>
      </c>
      <c r="L54" s="4">
        <v>0.46786783838185481</v>
      </c>
      <c r="M54" t="s">
        <v>188</v>
      </c>
      <c r="N54">
        <v>30360</v>
      </c>
      <c r="O54" s="4">
        <v>0.21199999999999999</v>
      </c>
      <c r="P54" t="s">
        <v>316</v>
      </c>
      <c r="Q54">
        <v>22264</v>
      </c>
      <c r="R54" s="4">
        <v>0.15574676460300799</v>
      </c>
      <c r="S54" t="s">
        <v>18</v>
      </c>
      <c r="T54" t="s">
        <v>19</v>
      </c>
      <c r="U54" t="str">
        <f>IF(COUNTIF(A:A, A54)&gt;=3, "Yes", "No")</f>
        <v>No</v>
      </c>
    </row>
    <row r="55" spans="1:21" x14ac:dyDescent="0.3">
      <c r="A55">
        <v>170</v>
      </c>
      <c r="B55" t="s">
        <v>189</v>
      </c>
      <c r="C55" t="s">
        <v>156</v>
      </c>
      <c r="D55" t="s">
        <v>190</v>
      </c>
      <c r="E55">
        <v>43600</v>
      </c>
      <c r="F55" s="4">
        <v>0.35099999999999998</v>
      </c>
      <c r="G55" t="s">
        <v>318</v>
      </c>
      <c r="H55">
        <v>240852</v>
      </c>
      <c r="I55">
        <v>124156</v>
      </c>
      <c r="J55">
        <v>10415</v>
      </c>
      <c r="K55" s="4">
        <v>8.3886400979412995E-2</v>
      </c>
      <c r="L55" s="4">
        <v>0.51548668892099714</v>
      </c>
      <c r="M55" t="s">
        <v>191</v>
      </c>
      <c r="N55">
        <v>26323</v>
      </c>
      <c r="O55" s="4">
        <v>0.21199999999999999</v>
      </c>
      <c r="P55" t="s">
        <v>465</v>
      </c>
      <c r="Q55">
        <v>11150</v>
      </c>
      <c r="R55" s="4">
        <v>8.9806372627984146E-2</v>
      </c>
      <c r="S55" t="s">
        <v>18</v>
      </c>
      <c r="T55" t="s">
        <v>19</v>
      </c>
      <c r="U55" t="str">
        <f>IF(COUNTIF(A:A, A55)&gt;=3, "Yes", "No")</f>
        <v>No</v>
      </c>
    </row>
    <row r="56" spans="1:21" x14ac:dyDescent="0.3">
      <c r="A56">
        <v>171</v>
      </c>
      <c r="B56" t="s">
        <v>192</v>
      </c>
      <c r="C56" t="s">
        <v>156</v>
      </c>
      <c r="D56" t="s">
        <v>193</v>
      </c>
      <c r="E56">
        <v>38435</v>
      </c>
      <c r="F56" s="4">
        <v>0.33700000000000002</v>
      </c>
      <c r="G56" t="s">
        <v>595</v>
      </c>
      <c r="H56">
        <v>270843</v>
      </c>
      <c r="I56">
        <v>114221</v>
      </c>
      <c r="J56">
        <v>14117</v>
      </c>
      <c r="K56" s="4">
        <v>0.12359373495241679</v>
      </c>
      <c r="L56" s="4">
        <v>0.42172402461942898</v>
      </c>
      <c r="M56" t="s">
        <v>194</v>
      </c>
      <c r="N56">
        <v>21838</v>
      </c>
      <c r="O56" s="4">
        <v>0.191</v>
      </c>
      <c r="P56" t="s">
        <v>465</v>
      </c>
      <c r="Q56">
        <v>12402</v>
      </c>
      <c r="R56" s="4">
        <v>0.1085789828490383</v>
      </c>
      <c r="S56" t="s">
        <v>18</v>
      </c>
      <c r="T56" t="s">
        <v>19</v>
      </c>
      <c r="U56" t="str">
        <f>IF(COUNTIF(A:A, A56)&gt;=3, "Yes", "No")</f>
        <v>No</v>
      </c>
    </row>
    <row r="57" spans="1:21" x14ac:dyDescent="0.3">
      <c r="A57">
        <v>172</v>
      </c>
      <c r="B57" t="s">
        <v>195</v>
      </c>
      <c r="C57" t="s">
        <v>156</v>
      </c>
      <c r="D57" t="s">
        <v>196</v>
      </c>
      <c r="E57">
        <v>38928</v>
      </c>
      <c r="F57" s="4">
        <v>0.35299999999999998</v>
      </c>
      <c r="G57" t="s">
        <v>341</v>
      </c>
      <c r="H57">
        <v>238900</v>
      </c>
      <c r="I57">
        <v>110208</v>
      </c>
      <c r="J57">
        <v>6825</v>
      </c>
      <c r="K57" s="4">
        <v>6.1928353658536578E-2</v>
      </c>
      <c r="L57" s="4">
        <v>0.46131435747174548</v>
      </c>
      <c r="M57" t="s">
        <v>197</v>
      </c>
      <c r="N57">
        <v>16737</v>
      </c>
      <c r="O57" s="4">
        <v>0.152</v>
      </c>
      <c r="P57" t="s">
        <v>465</v>
      </c>
      <c r="Q57">
        <v>9463</v>
      </c>
      <c r="R57" s="4">
        <v>8.5864909988385599E-2</v>
      </c>
      <c r="S57" t="s">
        <v>18</v>
      </c>
      <c r="T57" t="s">
        <v>19</v>
      </c>
      <c r="U57" t="str">
        <f>IF(COUNTIF(A:A, A57)&gt;=3, "Yes", "No")</f>
        <v>No</v>
      </c>
    </row>
    <row r="58" spans="1:21" x14ac:dyDescent="0.3">
      <c r="A58">
        <v>173</v>
      </c>
      <c r="B58" t="s">
        <v>198</v>
      </c>
      <c r="C58" t="s">
        <v>156</v>
      </c>
      <c r="D58" t="s">
        <v>199</v>
      </c>
      <c r="E58">
        <v>47431</v>
      </c>
      <c r="F58" s="4">
        <v>0.38400000000000001</v>
      </c>
      <c r="G58" t="s">
        <v>316</v>
      </c>
      <c r="H58">
        <v>252142</v>
      </c>
      <c r="I58">
        <v>123461</v>
      </c>
      <c r="J58">
        <v>17966</v>
      </c>
      <c r="K58" s="4">
        <v>0.14551963778035171</v>
      </c>
      <c r="L58" s="4">
        <v>0.48964869002387551</v>
      </c>
      <c r="M58" t="s">
        <v>200</v>
      </c>
      <c r="N58">
        <v>21751</v>
      </c>
      <c r="O58" s="4">
        <v>0.17599999999999999</v>
      </c>
      <c r="P58" t="s">
        <v>318</v>
      </c>
      <c r="Q58">
        <v>1284</v>
      </c>
      <c r="R58" s="4">
        <v>1.0400045358453279E-2</v>
      </c>
      <c r="S58" t="s">
        <v>18</v>
      </c>
      <c r="T58" t="s">
        <v>19</v>
      </c>
      <c r="U58" t="str">
        <f>IF(COUNTIF(A:A, A58)&gt;=3, "Yes", "No")</f>
        <v>Yes</v>
      </c>
    </row>
    <row r="59" spans="1:21" x14ac:dyDescent="0.3">
      <c r="A59">
        <v>174</v>
      </c>
      <c r="B59" t="s">
        <v>201</v>
      </c>
      <c r="C59" t="s">
        <v>156</v>
      </c>
      <c r="D59" t="s">
        <v>202</v>
      </c>
      <c r="E59">
        <v>41891</v>
      </c>
      <c r="F59" s="4">
        <v>0.34599999999999997</v>
      </c>
      <c r="G59" t="s">
        <v>341</v>
      </c>
      <c r="H59">
        <v>284951</v>
      </c>
      <c r="I59">
        <v>121198</v>
      </c>
      <c r="J59">
        <v>6971</v>
      </c>
      <c r="K59" s="4">
        <v>5.7517450783016219E-2</v>
      </c>
      <c r="L59" s="4">
        <v>0.42532926713715691</v>
      </c>
      <c r="M59" t="s">
        <v>203</v>
      </c>
      <c r="N59">
        <v>33967</v>
      </c>
      <c r="O59" s="4">
        <v>0.28000000000000003</v>
      </c>
      <c r="P59" t="s">
        <v>465</v>
      </c>
      <c r="Q59">
        <v>28951</v>
      </c>
      <c r="R59" s="4">
        <v>0.23887357877192689</v>
      </c>
      <c r="S59" t="s">
        <v>18</v>
      </c>
      <c r="T59" t="s">
        <v>19</v>
      </c>
      <c r="U59" t="str">
        <f>IF(COUNTIF(A:A, A59)&gt;=3, "Yes", "No")</f>
        <v>No</v>
      </c>
    </row>
    <row r="60" spans="1:21" x14ac:dyDescent="0.3">
      <c r="A60">
        <v>175</v>
      </c>
      <c r="B60" t="s">
        <v>204</v>
      </c>
      <c r="C60" t="s">
        <v>156</v>
      </c>
      <c r="D60" t="s">
        <v>205</v>
      </c>
      <c r="E60">
        <v>51205</v>
      </c>
      <c r="F60" s="4">
        <v>0.437</v>
      </c>
      <c r="G60" t="s">
        <v>316</v>
      </c>
      <c r="H60">
        <v>257576</v>
      </c>
      <c r="I60">
        <v>117227</v>
      </c>
      <c r="J60">
        <v>12921</v>
      </c>
      <c r="K60" s="4">
        <v>0.11022204782174751</v>
      </c>
      <c r="L60" s="4">
        <v>0.45511615989067311</v>
      </c>
      <c r="M60" t="s">
        <v>206</v>
      </c>
      <c r="N60">
        <v>13994</v>
      </c>
      <c r="O60" s="4">
        <v>0.11899999999999999</v>
      </c>
      <c r="P60" t="s">
        <v>318</v>
      </c>
      <c r="Q60">
        <v>3017</v>
      </c>
      <c r="R60" s="4">
        <v>2.5736391786875042E-2</v>
      </c>
      <c r="S60" t="s">
        <v>18</v>
      </c>
      <c r="T60" t="s">
        <v>19</v>
      </c>
      <c r="U60" t="str">
        <f>IF(COUNTIF(A:A, A60)&gt;=3, "Yes", "No")</f>
        <v>No</v>
      </c>
    </row>
    <row r="61" spans="1:21" x14ac:dyDescent="0.3">
      <c r="A61">
        <v>176</v>
      </c>
      <c r="B61" t="s">
        <v>207</v>
      </c>
      <c r="C61" t="s">
        <v>156</v>
      </c>
      <c r="D61" t="s">
        <v>208</v>
      </c>
      <c r="E61">
        <v>45659</v>
      </c>
      <c r="F61" s="4">
        <v>0.38200000000000001</v>
      </c>
      <c r="G61" t="s">
        <v>328</v>
      </c>
      <c r="H61">
        <v>261177</v>
      </c>
      <c r="I61">
        <v>119463</v>
      </c>
      <c r="J61">
        <v>7420</v>
      </c>
      <c r="K61" s="4">
        <v>6.2111281317227929E-2</v>
      </c>
      <c r="L61" s="4">
        <v>0.45740245121124762</v>
      </c>
      <c r="M61" t="s">
        <v>209</v>
      </c>
      <c r="N61">
        <v>19109</v>
      </c>
      <c r="O61" s="4">
        <v>0.16</v>
      </c>
      <c r="P61" t="s">
        <v>465</v>
      </c>
      <c r="Q61">
        <v>8183</v>
      </c>
      <c r="R61" s="4">
        <v>6.8498196094188155E-2</v>
      </c>
      <c r="S61" t="s">
        <v>18</v>
      </c>
      <c r="T61" t="s">
        <v>19</v>
      </c>
      <c r="U61" t="str">
        <f>IF(COUNTIF(A:A, A61)&gt;=3, "Yes", "No")</f>
        <v>No</v>
      </c>
    </row>
    <row r="62" spans="1:21" x14ac:dyDescent="0.3">
      <c r="A62">
        <v>179</v>
      </c>
      <c r="B62" t="s">
        <v>210</v>
      </c>
      <c r="C62" t="s">
        <v>211</v>
      </c>
      <c r="D62" t="s">
        <v>212</v>
      </c>
      <c r="E62">
        <v>45638</v>
      </c>
      <c r="F62" s="4">
        <v>0.39100000000000001</v>
      </c>
      <c r="G62" t="s">
        <v>316</v>
      </c>
      <c r="H62">
        <v>290317</v>
      </c>
      <c r="I62">
        <v>116687</v>
      </c>
      <c r="J62">
        <v>18023</v>
      </c>
      <c r="K62" s="4">
        <v>0.154455937679433</v>
      </c>
      <c r="L62" s="4">
        <v>0.4019296148692636</v>
      </c>
      <c r="M62" t="s">
        <v>213</v>
      </c>
      <c r="N62">
        <v>20827</v>
      </c>
      <c r="O62" s="4">
        <v>0.17899999999999999</v>
      </c>
      <c r="P62" t="s">
        <v>465</v>
      </c>
      <c r="Q62">
        <v>5166</v>
      </c>
      <c r="R62" s="4">
        <v>4.4272283973364641E-2</v>
      </c>
      <c r="S62" t="s">
        <v>18</v>
      </c>
      <c r="T62" t="s">
        <v>19</v>
      </c>
      <c r="U62" t="str">
        <f>IF(COUNTIF(A:A, A62)&gt;=3, "Yes", "No")</f>
        <v>No</v>
      </c>
    </row>
    <row r="63" spans="1:21" x14ac:dyDescent="0.3">
      <c r="A63">
        <v>181</v>
      </c>
      <c r="B63" t="s">
        <v>214</v>
      </c>
      <c r="C63" t="s">
        <v>211</v>
      </c>
      <c r="D63" t="s">
        <v>215</v>
      </c>
      <c r="E63">
        <v>48734</v>
      </c>
      <c r="F63" s="4">
        <v>0.378</v>
      </c>
      <c r="G63" t="s">
        <v>465</v>
      </c>
      <c r="H63">
        <v>255706</v>
      </c>
      <c r="I63">
        <v>128862</v>
      </c>
      <c r="J63">
        <v>8926</v>
      </c>
      <c r="K63" s="4">
        <v>6.92678989927209E-2</v>
      </c>
      <c r="L63" s="4">
        <v>0.50394593791307207</v>
      </c>
      <c r="M63" t="s">
        <v>216</v>
      </c>
      <c r="N63">
        <v>36364</v>
      </c>
      <c r="O63" s="4">
        <v>0.28199999999999997</v>
      </c>
      <c r="P63" t="s">
        <v>328</v>
      </c>
      <c r="Q63">
        <v>34474</v>
      </c>
      <c r="R63" s="4">
        <v>0.26752650121835758</v>
      </c>
      <c r="S63" t="s">
        <v>18</v>
      </c>
      <c r="T63" t="s">
        <v>19</v>
      </c>
      <c r="U63" t="str">
        <f>IF(COUNTIF(A:A, A63)&gt;=3, "Yes", "No")</f>
        <v>No</v>
      </c>
    </row>
    <row r="64" spans="1:21" x14ac:dyDescent="0.3">
      <c r="A64">
        <v>184</v>
      </c>
      <c r="B64" t="s">
        <v>217</v>
      </c>
      <c r="C64" t="s">
        <v>211</v>
      </c>
      <c r="D64" t="s">
        <v>218</v>
      </c>
      <c r="E64">
        <v>36302</v>
      </c>
      <c r="F64" s="4">
        <v>0.312</v>
      </c>
      <c r="G64" t="s">
        <v>316</v>
      </c>
      <c r="H64">
        <v>271507</v>
      </c>
      <c r="I64">
        <v>116270</v>
      </c>
      <c r="J64">
        <v>9104</v>
      </c>
      <c r="K64" s="4">
        <v>7.8300507439580294E-2</v>
      </c>
      <c r="L64" s="4">
        <v>0.42823941924149278</v>
      </c>
      <c r="M64" t="s">
        <v>219</v>
      </c>
      <c r="N64">
        <v>25703</v>
      </c>
      <c r="O64" s="4">
        <v>0.221</v>
      </c>
      <c r="P64" t="s">
        <v>750</v>
      </c>
      <c r="Q64">
        <v>5011</v>
      </c>
      <c r="R64" s="4">
        <v>4.3097961641008001E-2</v>
      </c>
      <c r="S64" t="s">
        <v>18</v>
      </c>
      <c r="T64" t="s">
        <v>19</v>
      </c>
      <c r="U64" t="str">
        <f>IF(COUNTIF(A:A, A64)&gt;=3, "Yes", "No")</f>
        <v>No</v>
      </c>
    </row>
    <row r="65" spans="1:21" x14ac:dyDescent="0.3">
      <c r="A65">
        <v>185</v>
      </c>
      <c r="B65" t="s">
        <v>220</v>
      </c>
      <c r="C65" t="s">
        <v>211</v>
      </c>
      <c r="D65" t="s">
        <v>221</v>
      </c>
      <c r="E65">
        <v>58530</v>
      </c>
      <c r="F65" s="4">
        <v>0.47699999999999998</v>
      </c>
      <c r="G65" t="s">
        <v>318</v>
      </c>
      <c r="H65">
        <v>270998</v>
      </c>
      <c r="I65">
        <v>122636</v>
      </c>
      <c r="J65">
        <v>24559</v>
      </c>
      <c r="K65" s="4">
        <v>0.20025930395642391</v>
      </c>
      <c r="L65" s="4">
        <v>0.45253470505317378</v>
      </c>
      <c r="M65" t="s">
        <v>222</v>
      </c>
      <c r="N65">
        <v>25949</v>
      </c>
      <c r="O65" s="4">
        <v>0.21199999999999999</v>
      </c>
      <c r="P65" t="s">
        <v>465</v>
      </c>
      <c r="Q65">
        <v>25218</v>
      </c>
      <c r="R65" s="4">
        <v>0.2056329299716233</v>
      </c>
      <c r="S65" t="s">
        <v>18</v>
      </c>
      <c r="T65" t="s">
        <v>19</v>
      </c>
      <c r="U65" t="str">
        <f>IF(COUNTIF(A:A, A65)&gt;=3, "Yes", "No")</f>
        <v>No</v>
      </c>
    </row>
    <row r="66" spans="1:21" x14ac:dyDescent="0.3">
      <c r="A66">
        <v>186</v>
      </c>
      <c r="B66" t="s">
        <v>223</v>
      </c>
      <c r="C66" t="s">
        <v>211</v>
      </c>
      <c r="D66" t="s">
        <v>224</v>
      </c>
      <c r="E66">
        <v>45285</v>
      </c>
      <c r="F66" s="4">
        <v>0.46800000000000003</v>
      </c>
      <c r="G66" t="s">
        <v>316</v>
      </c>
      <c r="H66">
        <v>261263</v>
      </c>
      <c r="I66">
        <v>96705</v>
      </c>
      <c r="J66">
        <v>16639</v>
      </c>
      <c r="K66" s="4">
        <v>0.17205935577271081</v>
      </c>
      <c r="L66" s="4">
        <v>0.37014426076405771</v>
      </c>
      <c r="M66" t="s">
        <v>225</v>
      </c>
      <c r="N66">
        <v>19936</v>
      </c>
      <c r="O66" s="4">
        <v>0.20599999999999999</v>
      </c>
      <c r="P66" t="s">
        <v>595</v>
      </c>
      <c r="Q66">
        <v>18671</v>
      </c>
      <c r="R66" s="4">
        <v>0.19307171294141981</v>
      </c>
      <c r="S66" t="s">
        <v>18</v>
      </c>
      <c r="T66" t="s">
        <v>19</v>
      </c>
      <c r="U66" t="str">
        <f>IF(COUNTIF(A:A, A66)&gt;=3, "Yes", "No")</f>
        <v>No</v>
      </c>
    </row>
    <row r="67" spans="1:21" x14ac:dyDescent="0.3">
      <c r="A67">
        <v>187</v>
      </c>
      <c r="B67" t="s">
        <v>226</v>
      </c>
      <c r="C67" t="s">
        <v>211</v>
      </c>
      <c r="D67" t="s">
        <v>227</v>
      </c>
      <c r="E67">
        <v>39779</v>
      </c>
      <c r="F67" s="4">
        <v>0.40300000000000002</v>
      </c>
      <c r="G67" t="s">
        <v>316</v>
      </c>
      <c r="H67">
        <v>275035</v>
      </c>
      <c r="I67">
        <v>98627</v>
      </c>
      <c r="J67">
        <v>8057</v>
      </c>
      <c r="K67" s="4">
        <v>8.1691626025327743E-2</v>
      </c>
      <c r="L67" s="4">
        <v>0.35859799661861219</v>
      </c>
      <c r="M67" t="s">
        <v>228</v>
      </c>
      <c r="N67">
        <v>22756</v>
      </c>
      <c r="O67" s="4">
        <v>0.23100000000000001</v>
      </c>
      <c r="P67" t="s">
        <v>465</v>
      </c>
      <c r="Q67">
        <v>21891</v>
      </c>
      <c r="R67" s="4">
        <v>0.22195747614750519</v>
      </c>
      <c r="S67" t="s">
        <v>18</v>
      </c>
      <c r="T67" t="s">
        <v>19</v>
      </c>
      <c r="U67" t="str">
        <f>IF(COUNTIF(A:A, A67)&gt;=3, "Yes", "No")</f>
        <v>No</v>
      </c>
    </row>
    <row r="68" spans="1:21" x14ac:dyDescent="0.3">
      <c r="A68">
        <v>189</v>
      </c>
      <c r="B68" t="s">
        <v>229</v>
      </c>
      <c r="C68" t="s">
        <v>230</v>
      </c>
      <c r="D68" t="s">
        <v>231</v>
      </c>
      <c r="E68">
        <v>41727</v>
      </c>
      <c r="F68" s="4">
        <v>0.28699999999999998</v>
      </c>
      <c r="G68" t="s">
        <v>341</v>
      </c>
      <c r="H68">
        <v>211523</v>
      </c>
      <c r="I68">
        <v>145543</v>
      </c>
      <c r="J68">
        <v>15810</v>
      </c>
      <c r="K68" s="4">
        <v>0.10862769078554101</v>
      </c>
      <c r="L68" s="4">
        <v>0.68807174633491397</v>
      </c>
      <c r="M68" t="s">
        <v>232</v>
      </c>
      <c r="N68">
        <v>24987</v>
      </c>
      <c r="O68" s="4">
        <v>0.17199999999999999</v>
      </c>
      <c r="P68" t="s">
        <v>338</v>
      </c>
      <c r="Q68">
        <v>8111</v>
      </c>
      <c r="R68" s="4">
        <v>5.5729234659172892E-2</v>
      </c>
      <c r="S68" t="s">
        <v>18</v>
      </c>
      <c r="T68" t="s">
        <v>19</v>
      </c>
      <c r="U68" t="str">
        <f>IF(COUNTIF(A:A, A68)&gt;=3, "Yes", "No")</f>
        <v>No</v>
      </c>
    </row>
    <row r="69" spans="1:21" x14ac:dyDescent="0.3">
      <c r="A69">
        <v>197</v>
      </c>
      <c r="B69" t="s">
        <v>233</v>
      </c>
      <c r="C69" t="s">
        <v>234</v>
      </c>
      <c r="D69" t="s">
        <v>235</v>
      </c>
      <c r="E69">
        <v>64726</v>
      </c>
      <c r="F69" s="4">
        <v>0.38600000000000001</v>
      </c>
      <c r="G69" t="s">
        <v>341</v>
      </c>
      <c r="H69">
        <v>259751</v>
      </c>
      <c r="I69">
        <v>167630</v>
      </c>
      <c r="J69">
        <v>20792</v>
      </c>
      <c r="K69" s="4">
        <v>0.1240350772534749</v>
      </c>
      <c r="L69" s="4">
        <v>0.64534881482650697</v>
      </c>
      <c r="M69" t="s">
        <v>236</v>
      </c>
      <c r="N69">
        <v>40528</v>
      </c>
      <c r="O69" s="4">
        <v>0.24199999999999999</v>
      </c>
      <c r="P69" t="s">
        <v>338</v>
      </c>
      <c r="Q69">
        <v>25358</v>
      </c>
      <c r="R69" s="4">
        <v>0.15127363837022009</v>
      </c>
      <c r="S69" t="s">
        <v>18</v>
      </c>
      <c r="T69" t="s">
        <v>19</v>
      </c>
      <c r="U69" t="str">
        <f>IF(COUNTIF(A:A, A69)&gt;=3, "Yes", "No")</f>
        <v>No</v>
      </c>
    </row>
    <row r="70" spans="1:21" x14ac:dyDescent="0.3">
      <c r="A70">
        <v>202</v>
      </c>
      <c r="B70" t="s">
        <v>237</v>
      </c>
      <c r="C70" t="s">
        <v>234</v>
      </c>
      <c r="D70" t="s">
        <v>238</v>
      </c>
      <c r="E70">
        <v>67998</v>
      </c>
      <c r="F70" s="4">
        <v>0.38400000000000001</v>
      </c>
      <c r="G70" t="s">
        <v>328</v>
      </c>
      <c r="H70">
        <v>269509</v>
      </c>
      <c r="I70">
        <v>176957</v>
      </c>
      <c r="J70">
        <v>23469</v>
      </c>
      <c r="K70" s="4">
        <v>0.1326254400786632</v>
      </c>
      <c r="L70" s="4">
        <v>0.6565903179485657</v>
      </c>
      <c r="M70" t="s">
        <v>239</v>
      </c>
      <c r="N70">
        <v>33513</v>
      </c>
      <c r="O70" s="4">
        <v>0.189</v>
      </c>
      <c r="P70" t="s">
        <v>338</v>
      </c>
      <c r="Q70">
        <v>19463</v>
      </c>
      <c r="R70" s="4">
        <v>0.10998717202484221</v>
      </c>
      <c r="S70" t="s">
        <v>18</v>
      </c>
      <c r="T70" t="s">
        <v>19</v>
      </c>
      <c r="U70" t="str">
        <f>IF(COUNTIF(A:A, A70)&gt;=3, "Yes", "No")</f>
        <v>No</v>
      </c>
    </row>
    <row r="71" spans="1:21" x14ac:dyDescent="0.3">
      <c r="A71">
        <v>203</v>
      </c>
      <c r="B71" t="s">
        <v>240</v>
      </c>
      <c r="C71" t="s">
        <v>234</v>
      </c>
      <c r="D71" t="s">
        <v>241</v>
      </c>
      <c r="E71">
        <v>59041</v>
      </c>
      <c r="F71" s="4">
        <v>0.311</v>
      </c>
      <c r="G71" t="s">
        <v>316</v>
      </c>
      <c r="H71">
        <v>284384</v>
      </c>
      <c r="I71">
        <v>189744</v>
      </c>
      <c r="J71">
        <v>18580</v>
      </c>
      <c r="K71" s="4">
        <v>9.7921409899654269E-2</v>
      </c>
      <c r="L71" s="4">
        <v>0.66721053223810056</v>
      </c>
      <c r="M71" t="s">
        <v>242</v>
      </c>
      <c r="N71">
        <v>26676</v>
      </c>
      <c r="O71" s="4">
        <v>0.14099999999999999</v>
      </c>
      <c r="P71" t="s">
        <v>338</v>
      </c>
      <c r="Q71">
        <v>5777</v>
      </c>
      <c r="R71" s="4">
        <v>3.0446285521544821E-2</v>
      </c>
      <c r="S71" t="s">
        <v>18</v>
      </c>
      <c r="T71" t="s">
        <v>19</v>
      </c>
      <c r="U71" t="str">
        <f>IF(COUNTIF(A:A, A71)&gt;=3, "Yes", "No")</f>
        <v>No</v>
      </c>
    </row>
    <row r="72" spans="1:21" x14ac:dyDescent="0.3">
      <c r="A72">
        <v>204</v>
      </c>
      <c r="B72" t="s">
        <v>243</v>
      </c>
      <c r="C72" t="s">
        <v>234</v>
      </c>
      <c r="D72" t="s">
        <v>244</v>
      </c>
      <c r="E72">
        <v>83158</v>
      </c>
      <c r="F72" s="4">
        <v>0.45300000000000001</v>
      </c>
      <c r="G72" t="s">
        <v>318</v>
      </c>
      <c r="H72">
        <v>280748</v>
      </c>
      <c r="I72">
        <v>183574</v>
      </c>
      <c r="J72">
        <v>14318</v>
      </c>
      <c r="K72" s="4">
        <v>7.7995794611437352E-2</v>
      </c>
      <c r="L72" s="4">
        <v>0.65387464915155225</v>
      </c>
      <c r="M72" t="s">
        <v>245</v>
      </c>
      <c r="N72">
        <v>15160</v>
      </c>
      <c r="O72" s="4">
        <v>8.3000000000000004E-2</v>
      </c>
      <c r="P72" t="s">
        <v>749</v>
      </c>
      <c r="Q72">
        <v>6688</v>
      </c>
      <c r="R72" s="4">
        <v>3.643217449094098E-2</v>
      </c>
      <c r="S72" t="s">
        <v>18</v>
      </c>
      <c r="T72" t="s">
        <v>19</v>
      </c>
      <c r="U72" t="str">
        <f>IF(COUNTIF(A:A, A72)&gt;=3, "Yes", "No")</f>
        <v>No</v>
      </c>
    </row>
    <row r="73" spans="1:21" x14ac:dyDescent="0.3">
      <c r="A73">
        <v>206</v>
      </c>
      <c r="B73" t="s">
        <v>246</v>
      </c>
      <c r="C73" t="s">
        <v>234</v>
      </c>
      <c r="D73" t="s">
        <v>247</v>
      </c>
      <c r="E73">
        <v>61061</v>
      </c>
      <c r="F73" s="4">
        <v>0.41699999999999998</v>
      </c>
      <c r="G73" t="s">
        <v>341</v>
      </c>
      <c r="H73">
        <v>344485</v>
      </c>
      <c r="I73">
        <v>146461</v>
      </c>
      <c r="J73">
        <v>9527</v>
      </c>
      <c r="K73" s="4">
        <v>6.5048033264828178E-2</v>
      </c>
      <c r="L73" s="4">
        <v>0.4251592957603379</v>
      </c>
      <c r="M73" t="s">
        <v>248</v>
      </c>
      <c r="N73">
        <v>11146</v>
      </c>
      <c r="O73" s="4">
        <v>7.5999999999999998E-2</v>
      </c>
      <c r="P73" t="s">
        <v>749</v>
      </c>
      <c r="Q73">
        <v>2899</v>
      </c>
      <c r="R73" s="4">
        <v>1.979366520780276E-2</v>
      </c>
      <c r="S73" t="s">
        <v>18</v>
      </c>
      <c r="T73" t="s">
        <v>19</v>
      </c>
      <c r="U73" t="str">
        <f>IF(COUNTIF(A:A, A73)&gt;=3, "Yes", "No")</f>
        <v>No</v>
      </c>
    </row>
    <row r="74" spans="1:21" x14ac:dyDescent="0.3">
      <c r="A74">
        <v>209</v>
      </c>
      <c r="B74" t="s">
        <v>249</v>
      </c>
      <c r="C74" t="s">
        <v>234</v>
      </c>
      <c r="D74" t="s">
        <v>250</v>
      </c>
      <c r="E74">
        <v>50918</v>
      </c>
      <c r="F74" s="4">
        <v>0.39300000000000002</v>
      </c>
      <c r="G74" t="s">
        <v>316</v>
      </c>
      <c r="H74">
        <v>302251</v>
      </c>
      <c r="I74">
        <v>129529</v>
      </c>
      <c r="J74">
        <v>20530</v>
      </c>
      <c r="K74" s="4">
        <v>0.1584973249233762</v>
      </c>
      <c r="L74" s="4">
        <v>0.4285477963679194</v>
      </c>
      <c r="M74" t="s">
        <v>251</v>
      </c>
      <c r="N74">
        <v>26143</v>
      </c>
      <c r="O74" s="4">
        <v>0.20200000000000001</v>
      </c>
      <c r="P74" t="s">
        <v>465</v>
      </c>
      <c r="Q74">
        <v>10223</v>
      </c>
      <c r="R74" s="4">
        <v>7.8924410749716276E-2</v>
      </c>
      <c r="S74" t="s">
        <v>18</v>
      </c>
      <c r="T74" t="s">
        <v>19</v>
      </c>
      <c r="U74" t="str">
        <f>IF(COUNTIF(A:A, A74)&gt;=3, "Yes", "No")</f>
        <v>No</v>
      </c>
    </row>
    <row r="75" spans="1:21" x14ac:dyDescent="0.3">
      <c r="A75">
        <v>211</v>
      </c>
      <c r="B75" t="s">
        <v>252</v>
      </c>
      <c r="C75" t="s">
        <v>234</v>
      </c>
      <c r="D75" t="s">
        <v>253</v>
      </c>
      <c r="E75">
        <v>79006</v>
      </c>
      <c r="F75" s="4">
        <v>0.44900000000000001</v>
      </c>
      <c r="G75" t="s">
        <v>465</v>
      </c>
      <c r="H75">
        <v>356137</v>
      </c>
      <c r="I75">
        <v>175840</v>
      </c>
      <c r="J75">
        <v>22518</v>
      </c>
      <c r="K75" s="4">
        <v>0.12805959963603281</v>
      </c>
      <c r="L75" s="4">
        <v>0.4937425765927157</v>
      </c>
      <c r="M75" t="s">
        <v>254</v>
      </c>
      <c r="N75">
        <v>29171</v>
      </c>
      <c r="O75" s="4">
        <v>0.16600000000000001</v>
      </c>
      <c r="P75" t="s">
        <v>318</v>
      </c>
      <c r="Q75">
        <v>24779</v>
      </c>
      <c r="R75" s="4">
        <v>0.14091787989080981</v>
      </c>
      <c r="S75" t="s">
        <v>18</v>
      </c>
      <c r="T75" t="s">
        <v>19</v>
      </c>
      <c r="U75" t="str">
        <f>IF(COUNTIF(A:A, A75)&gt;=3, "Yes", "No")</f>
        <v>No</v>
      </c>
    </row>
    <row r="76" spans="1:21" x14ac:dyDescent="0.3">
      <c r="A76">
        <v>212</v>
      </c>
      <c r="B76" t="s">
        <v>255</v>
      </c>
      <c r="C76" t="s">
        <v>234</v>
      </c>
      <c r="D76" t="s">
        <v>256</v>
      </c>
      <c r="E76">
        <v>64959</v>
      </c>
      <c r="F76" s="4">
        <v>0.42</v>
      </c>
      <c r="G76" t="s">
        <v>318</v>
      </c>
      <c r="H76">
        <v>340343</v>
      </c>
      <c r="I76">
        <v>154679</v>
      </c>
      <c r="J76">
        <v>18216</v>
      </c>
      <c r="K76" s="4">
        <v>0.1177664712081149</v>
      </c>
      <c r="L76" s="4">
        <v>0.45447974543328351</v>
      </c>
      <c r="M76" t="s">
        <v>257</v>
      </c>
      <c r="N76">
        <v>29689</v>
      </c>
      <c r="O76" s="4">
        <v>0.192</v>
      </c>
      <c r="P76" t="s">
        <v>465</v>
      </c>
      <c r="Q76">
        <v>26473</v>
      </c>
      <c r="R76" s="4">
        <v>0.17114799035421741</v>
      </c>
      <c r="S76" t="s">
        <v>18</v>
      </c>
      <c r="T76" t="s">
        <v>19</v>
      </c>
      <c r="U76" t="str">
        <f>IF(COUNTIF(A:A, A76)&gt;=3, "Yes", "No")</f>
        <v>No</v>
      </c>
    </row>
    <row r="77" spans="1:21" x14ac:dyDescent="0.3">
      <c r="A77">
        <v>213</v>
      </c>
      <c r="B77" t="s">
        <v>258</v>
      </c>
      <c r="C77" t="s">
        <v>234</v>
      </c>
      <c r="D77" t="s">
        <v>259</v>
      </c>
      <c r="E77">
        <v>65517</v>
      </c>
      <c r="F77" s="4">
        <v>0.39700000000000002</v>
      </c>
      <c r="G77" t="s">
        <v>328</v>
      </c>
      <c r="H77">
        <v>363007</v>
      </c>
      <c r="I77">
        <v>164871</v>
      </c>
      <c r="J77">
        <v>10309</v>
      </c>
      <c r="K77" s="4">
        <v>6.2527673150523738E-2</v>
      </c>
      <c r="L77" s="4">
        <v>0.45418132432707908</v>
      </c>
      <c r="M77" t="s">
        <v>260</v>
      </c>
      <c r="N77">
        <v>33092</v>
      </c>
      <c r="O77" s="4">
        <v>0.20100000000000001</v>
      </c>
      <c r="P77" t="s">
        <v>465</v>
      </c>
      <c r="Q77">
        <v>30837</v>
      </c>
      <c r="R77" s="4">
        <v>0.1870371381261714</v>
      </c>
      <c r="S77" t="s">
        <v>18</v>
      </c>
      <c r="T77" t="s">
        <v>19</v>
      </c>
      <c r="U77" t="str">
        <f>IF(COUNTIF(A:A, A77)&gt;=3, "Yes", "No")</f>
        <v>No</v>
      </c>
    </row>
    <row r="78" spans="1:21" x14ac:dyDescent="0.3">
      <c r="A78">
        <v>215</v>
      </c>
      <c r="B78" t="s">
        <v>261</v>
      </c>
      <c r="C78" t="s">
        <v>234</v>
      </c>
      <c r="D78" t="s">
        <v>262</v>
      </c>
      <c r="E78">
        <v>54982</v>
      </c>
      <c r="F78" s="4">
        <v>0.35299999999999998</v>
      </c>
      <c r="G78" t="s">
        <v>318</v>
      </c>
      <c r="H78">
        <v>317093</v>
      </c>
      <c r="I78">
        <v>155587</v>
      </c>
      <c r="J78">
        <v>8162</v>
      </c>
      <c r="K78" s="4">
        <v>5.2459395707867618E-2</v>
      </c>
      <c r="L78" s="4">
        <v>0.49066677599316288</v>
      </c>
      <c r="M78" t="s">
        <v>263</v>
      </c>
      <c r="N78">
        <v>46728</v>
      </c>
      <c r="O78" s="4">
        <v>0.3</v>
      </c>
      <c r="P78" t="s">
        <v>316</v>
      </c>
      <c r="Q78">
        <v>45332</v>
      </c>
      <c r="R78" s="4">
        <v>0.29136110343409161</v>
      </c>
      <c r="S78" t="s">
        <v>18</v>
      </c>
      <c r="T78" t="s">
        <v>19</v>
      </c>
      <c r="U78" t="str">
        <f>IF(COUNTIF(A:A, A78)&gt;=3, "Yes", "No")</f>
        <v>No</v>
      </c>
    </row>
    <row r="79" spans="1:21" x14ac:dyDescent="0.3">
      <c r="A79">
        <v>216</v>
      </c>
      <c r="B79" t="s">
        <v>264</v>
      </c>
      <c r="C79" t="s">
        <v>265</v>
      </c>
      <c r="D79" t="s">
        <v>266</v>
      </c>
      <c r="E79">
        <v>60043</v>
      </c>
      <c r="F79" s="4">
        <v>0.438</v>
      </c>
      <c r="G79" t="s">
        <v>341</v>
      </c>
      <c r="H79">
        <v>209714</v>
      </c>
      <c r="I79">
        <v>137185</v>
      </c>
      <c r="J79">
        <v>9079</v>
      </c>
      <c r="K79" s="4">
        <v>6.6180704887560587E-2</v>
      </c>
      <c r="L79" s="4">
        <v>0.65415279857329511</v>
      </c>
      <c r="M79" t="s">
        <v>267</v>
      </c>
      <c r="N79">
        <v>17016</v>
      </c>
      <c r="O79" s="4">
        <v>0.124</v>
      </c>
      <c r="P79" t="s">
        <v>338</v>
      </c>
      <c r="Q79">
        <v>9561</v>
      </c>
      <c r="R79" s="4">
        <v>6.9694208550497502E-2</v>
      </c>
      <c r="S79" t="s">
        <v>18</v>
      </c>
      <c r="T79" t="s">
        <v>19</v>
      </c>
      <c r="U79" t="str">
        <f>IF(COUNTIF(A:A, A79)&gt;=3, "Yes", "No")</f>
        <v>No</v>
      </c>
    </row>
    <row r="80" spans="1:21" x14ac:dyDescent="0.3">
      <c r="A80">
        <v>222</v>
      </c>
      <c r="B80" t="s">
        <v>268</v>
      </c>
      <c r="C80" t="s">
        <v>265</v>
      </c>
      <c r="D80" t="s">
        <v>269</v>
      </c>
      <c r="E80">
        <v>81890</v>
      </c>
      <c r="F80" s="4">
        <v>0.38700000000000001</v>
      </c>
      <c r="G80" t="s">
        <v>341</v>
      </c>
      <c r="H80">
        <v>282571</v>
      </c>
      <c r="I80">
        <v>211451</v>
      </c>
      <c r="J80">
        <v>20144</v>
      </c>
      <c r="K80" s="4">
        <v>9.526556980104138E-2</v>
      </c>
      <c r="L80" s="4">
        <v>0.74831104395001613</v>
      </c>
      <c r="M80" t="s">
        <v>270</v>
      </c>
      <c r="N80">
        <v>43351</v>
      </c>
      <c r="O80" s="4">
        <v>0.20499999999999999</v>
      </c>
      <c r="P80" t="s">
        <v>338</v>
      </c>
      <c r="Q80">
        <v>34076</v>
      </c>
      <c r="R80" s="4">
        <v>0.1611531749672501</v>
      </c>
      <c r="S80" t="s">
        <v>18</v>
      </c>
      <c r="T80" t="s">
        <v>19</v>
      </c>
      <c r="U80" t="str">
        <f>IF(COUNTIF(A:A, A80)&gt;=3, "Yes", "No")</f>
        <v>No</v>
      </c>
    </row>
    <row r="81" spans="1:21" x14ac:dyDescent="0.3">
      <c r="A81">
        <v>226</v>
      </c>
      <c r="B81" t="s">
        <v>271</v>
      </c>
      <c r="C81" t="s">
        <v>265</v>
      </c>
      <c r="D81" t="s">
        <v>272</v>
      </c>
      <c r="E81">
        <v>80418</v>
      </c>
      <c r="F81" s="4">
        <v>0.42099999999999999</v>
      </c>
      <c r="G81" t="s">
        <v>341</v>
      </c>
      <c r="H81">
        <v>262910</v>
      </c>
      <c r="I81">
        <v>191030</v>
      </c>
      <c r="J81">
        <v>27445</v>
      </c>
      <c r="K81" s="4">
        <v>0.1436685337381563</v>
      </c>
      <c r="L81" s="4">
        <v>0.72659845574531212</v>
      </c>
      <c r="M81" t="s">
        <v>273</v>
      </c>
      <c r="N81">
        <v>34626</v>
      </c>
      <c r="O81" s="4">
        <v>0.18099999999999999</v>
      </c>
      <c r="P81" t="s">
        <v>338</v>
      </c>
      <c r="Q81">
        <v>24083</v>
      </c>
      <c r="R81" s="4">
        <v>0.1260692037899806</v>
      </c>
      <c r="S81" t="s">
        <v>18</v>
      </c>
      <c r="T81" t="s">
        <v>19</v>
      </c>
      <c r="U81" t="str">
        <f>IF(COUNTIF(A:A, A81)&gt;=3, "Yes", "No")</f>
        <v>No</v>
      </c>
    </row>
    <row r="82" spans="1:21" x14ac:dyDescent="0.3">
      <c r="A82">
        <v>227</v>
      </c>
      <c r="B82" t="s">
        <v>274</v>
      </c>
      <c r="C82" t="s">
        <v>265</v>
      </c>
      <c r="D82" t="s">
        <v>275</v>
      </c>
      <c r="E82">
        <v>42845</v>
      </c>
      <c r="F82" s="4">
        <v>0.25</v>
      </c>
      <c r="G82" t="s">
        <v>318</v>
      </c>
      <c r="H82">
        <v>260145</v>
      </c>
      <c r="I82">
        <v>171270</v>
      </c>
      <c r="J82">
        <v>10172</v>
      </c>
      <c r="K82" s="4">
        <v>5.9391603900274419E-2</v>
      </c>
      <c r="L82" s="4">
        <v>0.6583636049126449</v>
      </c>
      <c r="M82" t="s">
        <v>276</v>
      </c>
      <c r="N82">
        <v>28508</v>
      </c>
      <c r="O82" s="4">
        <v>0.16700000000000001</v>
      </c>
      <c r="P82" t="s">
        <v>338</v>
      </c>
      <c r="Q82">
        <v>9604</v>
      </c>
      <c r="R82" s="4">
        <v>5.6075202896012137E-2</v>
      </c>
      <c r="S82" t="s">
        <v>18</v>
      </c>
      <c r="T82" t="s">
        <v>19</v>
      </c>
      <c r="U82" t="str">
        <f>IF(COUNTIF(A:A, A82)&gt;=3, "Yes", "No")</f>
        <v>No</v>
      </c>
    </row>
    <row r="83" spans="1:21" x14ac:dyDescent="0.3">
      <c r="A83">
        <v>240</v>
      </c>
      <c r="B83" t="s">
        <v>277</v>
      </c>
      <c r="C83" t="s">
        <v>278</v>
      </c>
      <c r="D83" t="s">
        <v>279</v>
      </c>
      <c r="E83">
        <v>70806</v>
      </c>
      <c r="F83" s="4">
        <v>0.44800000000000001</v>
      </c>
      <c r="G83" t="s">
        <v>328</v>
      </c>
      <c r="H83">
        <v>266557</v>
      </c>
      <c r="I83">
        <v>158097</v>
      </c>
      <c r="J83">
        <v>10332</v>
      </c>
      <c r="K83" s="4">
        <v>6.5352283724548849E-2</v>
      </c>
      <c r="L83" s="4">
        <v>0.5931076655274482</v>
      </c>
      <c r="M83" t="s">
        <v>280</v>
      </c>
      <c r="N83">
        <v>13954</v>
      </c>
      <c r="O83" s="4">
        <v>8.7999999999999995E-2</v>
      </c>
      <c r="P83" t="s">
        <v>465</v>
      </c>
      <c r="Q83">
        <v>11892</v>
      </c>
      <c r="R83" s="4">
        <v>7.5219643636501646E-2</v>
      </c>
      <c r="S83" t="s">
        <v>18</v>
      </c>
      <c r="T83" t="s">
        <v>19</v>
      </c>
      <c r="U83" t="str">
        <f>IF(COUNTIF(A:A, A83)&gt;=3, "Yes", "No")</f>
        <v>No</v>
      </c>
    </row>
    <row r="84" spans="1:21" x14ac:dyDescent="0.3">
      <c r="A84">
        <v>241</v>
      </c>
      <c r="B84" t="s">
        <v>281</v>
      </c>
      <c r="C84" t="s">
        <v>278</v>
      </c>
      <c r="D84" t="s">
        <v>282</v>
      </c>
      <c r="E84">
        <v>65802</v>
      </c>
      <c r="F84" s="4">
        <v>0.33500000000000002</v>
      </c>
      <c r="G84" t="s">
        <v>316</v>
      </c>
      <c r="H84">
        <v>298290</v>
      </c>
      <c r="I84">
        <v>196393</v>
      </c>
      <c r="J84">
        <v>16333</v>
      </c>
      <c r="K84" s="4">
        <v>8.3164878585285623E-2</v>
      </c>
      <c r="L84" s="4">
        <v>0.65839619162559926</v>
      </c>
      <c r="M84" t="s">
        <v>283</v>
      </c>
      <c r="N84">
        <v>45942</v>
      </c>
      <c r="O84" s="4">
        <v>0.23400000000000001</v>
      </c>
      <c r="P84" t="s">
        <v>624</v>
      </c>
      <c r="Q84">
        <v>30277</v>
      </c>
      <c r="R84" s="4">
        <v>0.1541653724929096</v>
      </c>
      <c r="S84" t="s">
        <v>18</v>
      </c>
      <c r="T84" t="s">
        <v>19</v>
      </c>
      <c r="U84" t="str">
        <f>IF(COUNTIF(A:A, A84)&gt;=3, "Yes", "No")</f>
        <v>Yes</v>
      </c>
    </row>
    <row r="85" spans="1:21" x14ac:dyDescent="0.3">
      <c r="A85">
        <v>246</v>
      </c>
      <c r="B85" t="s">
        <v>284</v>
      </c>
      <c r="C85" t="s">
        <v>285</v>
      </c>
      <c r="D85" t="s">
        <v>286</v>
      </c>
      <c r="E85">
        <v>90523</v>
      </c>
      <c r="F85" s="4">
        <v>0.46100000000000002</v>
      </c>
      <c r="G85" t="s">
        <v>338</v>
      </c>
      <c r="H85">
        <v>268894</v>
      </c>
      <c r="I85">
        <v>196193</v>
      </c>
      <c r="J85">
        <v>10209</v>
      </c>
      <c r="K85" s="4">
        <v>5.2035495659885932E-2</v>
      </c>
      <c r="L85" s="4">
        <v>0.72962951943888665</v>
      </c>
      <c r="M85" t="s">
        <v>287</v>
      </c>
      <c r="N85">
        <v>18051</v>
      </c>
      <c r="O85" s="4">
        <v>9.1999999999999998E-2</v>
      </c>
      <c r="P85" t="s">
        <v>328</v>
      </c>
      <c r="Q85">
        <v>16096</v>
      </c>
      <c r="R85" s="4">
        <v>8.2041663056276221E-2</v>
      </c>
      <c r="S85" t="s">
        <v>18</v>
      </c>
      <c r="T85" t="s">
        <v>19</v>
      </c>
      <c r="U85" t="str">
        <f>IF(COUNTIF(A:A, A85)&gt;=3, "Yes", "No")</f>
        <v>No</v>
      </c>
    </row>
    <row r="86" spans="1:21" x14ac:dyDescent="0.3">
      <c r="A86">
        <v>248</v>
      </c>
      <c r="B86" t="s">
        <v>288</v>
      </c>
      <c r="C86" t="s">
        <v>285</v>
      </c>
      <c r="D86" t="s">
        <v>289</v>
      </c>
      <c r="E86">
        <v>62363</v>
      </c>
      <c r="F86" s="4">
        <v>0.45600000000000002</v>
      </c>
      <c r="G86" t="s">
        <v>318</v>
      </c>
      <c r="H86">
        <v>267133</v>
      </c>
      <c r="I86">
        <v>136763</v>
      </c>
      <c r="J86">
        <v>10090</v>
      </c>
      <c r="K86" s="4">
        <v>7.3777264318565697E-2</v>
      </c>
      <c r="L86" s="4">
        <v>0.51196594954573194</v>
      </c>
      <c r="M86" t="s">
        <v>290</v>
      </c>
      <c r="N86">
        <v>14624</v>
      </c>
      <c r="O86" s="4">
        <v>0.107</v>
      </c>
      <c r="P86" t="s">
        <v>338</v>
      </c>
      <c r="Q86">
        <v>9854</v>
      </c>
      <c r="R86" s="4">
        <v>7.2051651396942154E-2</v>
      </c>
      <c r="S86" t="s">
        <v>18</v>
      </c>
      <c r="T86" t="s">
        <v>19</v>
      </c>
      <c r="U86" t="str">
        <f>IF(COUNTIF(A:A, A86)&gt;=3, "Yes", "No")</f>
        <v>No</v>
      </c>
    </row>
    <row r="87" spans="1:21" x14ac:dyDescent="0.3">
      <c r="A87">
        <v>253</v>
      </c>
      <c r="B87" t="s">
        <v>291</v>
      </c>
      <c r="C87" t="s">
        <v>285</v>
      </c>
      <c r="D87" t="s">
        <v>292</v>
      </c>
      <c r="E87">
        <v>86548</v>
      </c>
      <c r="F87" s="4">
        <v>0.47199999999999998</v>
      </c>
      <c r="G87" t="s">
        <v>624</v>
      </c>
      <c r="H87">
        <v>252474</v>
      </c>
      <c r="I87">
        <v>183524</v>
      </c>
      <c r="J87">
        <v>9804</v>
      </c>
      <c r="K87" s="4">
        <v>5.3420805998125577E-2</v>
      </c>
      <c r="L87" s="4">
        <v>0.72690257214604281</v>
      </c>
      <c r="M87" t="s">
        <v>293</v>
      </c>
      <c r="N87">
        <v>13997</v>
      </c>
      <c r="O87" s="4">
        <v>7.5999999999999998E-2</v>
      </c>
      <c r="P87" t="s">
        <v>747</v>
      </c>
      <c r="Q87">
        <v>11491</v>
      </c>
      <c r="R87" s="4">
        <v>6.2613064231381188E-2</v>
      </c>
      <c r="S87" t="s">
        <v>18</v>
      </c>
      <c r="T87" t="s">
        <v>19</v>
      </c>
      <c r="U87" t="str">
        <f>IF(COUNTIF(A:A, A87)&gt;=3, "Yes", "No")</f>
        <v>No</v>
      </c>
    </row>
    <row r="88" spans="1:21" x14ac:dyDescent="0.3">
      <c r="A88">
        <v>256</v>
      </c>
      <c r="B88" t="s">
        <v>294</v>
      </c>
      <c r="C88" t="s">
        <v>295</v>
      </c>
      <c r="D88" t="s">
        <v>296</v>
      </c>
      <c r="E88">
        <v>80887</v>
      </c>
      <c r="F88" s="4">
        <v>0.40699999999999997</v>
      </c>
      <c r="G88" t="s">
        <v>338</v>
      </c>
      <c r="H88">
        <v>282316</v>
      </c>
      <c r="I88">
        <v>198654</v>
      </c>
      <c r="J88">
        <v>21825</v>
      </c>
      <c r="K88" s="4">
        <v>0.10986438732670881</v>
      </c>
      <c r="L88" s="4">
        <v>0.70365831196248174</v>
      </c>
      <c r="M88" t="s">
        <v>297</v>
      </c>
      <c r="N88">
        <v>35452</v>
      </c>
      <c r="O88" s="4">
        <v>0.17899999999999999</v>
      </c>
      <c r="P88" t="s">
        <v>328</v>
      </c>
      <c r="Q88">
        <v>26736</v>
      </c>
      <c r="R88" s="4">
        <v>0.1345857621794678</v>
      </c>
      <c r="S88" t="s">
        <v>18</v>
      </c>
      <c r="T88" t="s">
        <v>19</v>
      </c>
      <c r="U88" t="str">
        <f>IF(COUNTIF(A:A, A88)&gt;=3, "Yes", "No")</f>
        <v>No</v>
      </c>
    </row>
    <row r="89" spans="1:21" x14ac:dyDescent="0.3">
      <c r="A89">
        <v>264</v>
      </c>
      <c r="B89" t="s">
        <v>298</v>
      </c>
      <c r="C89" t="s">
        <v>299</v>
      </c>
      <c r="D89" t="s">
        <v>300</v>
      </c>
      <c r="E89">
        <v>53108</v>
      </c>
      <c r="F89" s="4">
        <v>0.374</v>
      </c>
      <c r="G89" t="s">
        <v>341</v>
      </c>
      <c r="H89">
        <v>205376</v>
      </c>
      <c r="I89">
        <v>142111</v>
      </c>
      <c r="J89">
        <v>13076</v>
      </c>
      <c r="K89" s="4">
        <v>9.2012581714293759E-2</v>
      </c>
      <c r="L89" s="4">
        <v>0.69195524306637579</v>
      </c>
      <c r="M89" t="s">
        <v>301</v>
      </c>
      <c r="N89">
        <v>29606</v>
      </c>
      <c r="O89" s="4">
        <v>0.20799999999999999</v>
      </c>
      <c r="P89" t="s">
        <v>338</v>
      </c>
      <c r="Q89">
        <v>22746</v>
      </c>
      <c r="R89" s="4">
        <v>0.16005798284439629</v>
      </c>
      <c r="S89" t="s">
        <v>18</v>
      </c>
      <c r="T89" t="s">
        <v>19</v>
      </c>
      <c r="U89" t="str">
        <f>IF(COUNTIF(A:A, A89)&gt;=3, "Yes", "No")</f>
        <v>No</v>
      </c>
    </row>
    <row r="90" spans="1:21" x14ac:dyDescent="0.3">
      <c r="A90">
        <v>270</v>
      </c>
      <c r="B90" t="s">
        <v>302</v>
      </c>
      <c r="C90" t="s">
        <v>303</v>
      </c>
      <c r="D90" t="s">
        <v>304</v>
      </c>
      <c r="E90">
        <v>63430</v>
      </c>
      <c r="F90" s="4">
        <v>0.48299999999999998</v>
      </c>
      <c r="G90" t="s">
        <v>341</v>
      </c>
      <c r="H90">
        <v>202926</v>
      </c>
      <c r="I90">
        <v>131379</v>
      </c>
      <c r="J90">
        <v>18418</v>
      </c>
      <c r="K90" s="4">
        <v>0.14018983246942049</v>
      </c>
      <c r="L90" s="4">
        <v>0.64742319860441733</v>
      </c>
      <c r="M90" t="s">
        <v>305</v>
      </c>
      <c r="N90">
        <v>19364</v>
      </c>
      <c r="O90" s="4">
        <v>0.14699999999999999</v>
      </c>
      <c r="P90" t="s">
        <v>338</v>
      </c>
      <c r="Q90">
        <v>17572</v>
      </c>
      <c r="R90" s="4">
        <v>0.13375044717953399</v>
      </c>
      <c r="S90" t="s">
        <v>18</v>
      </c>
      <c r="T90" t="s">
        <v>19</v>
      </c>
      <c r="U90" t="str">
        <f>IF(COUNTIF(A:A, A90)&gt;=3, "Yes", "No")</f>
        <v>No</v>
      </c>
    </row>
    <row r="91" spans="1:21" x14ac:dyDescent="0.3">
      <c r="A91">
        <v>273</v>
      </c>
      <c r="B91" t="s">
        <v>306</v>
      </c>
      <c r="C91" t="s">
        <v>307</v>
      </c>
      <c r="D91" t="s">
        <v>308</v>
      </c>
      <c r="E91">
        <v>104241</v>
      </c>
      <c r="F91" s="4">
        <v>0.46100000000000002</v>
      </c>
      <c r="G91" t="s">
        <v>341</v>
      </c>
      <c r="H91">
        <v>278710</v>
      </c>
      <c r="I91">
        <v>226347</v>
      </c>
      <c r="J91">
        <v>46412</v>
      </c>
      <c r="K91" s="4">
        <v>0.20504800151979041</v>
      </c>
      <c r="L91" s="4">
        <v>0.8121237128197768</v>
      </c>
      <c r="M91" t="s">
        <v>309</v>
      </c>
      <c r="N91">
        <v>57271</v>
      </c>
      <c r="O91" s="4">
        <v>0.253</v>
      </c>
      <c r="P91" t="s">
        <v>710</v>
      </c>
      <c r="Q91">
        <v>55039</v>
      </c>
      <c r="R91" s="4">
        <v>0.24316204765249819</v>
      </c>
      <c r="S91" t="s">
        <v>18</v>
      </c>
      <c r="T91" t="s">
        <v>19</v>
      </c>
      <c r="U91" t="str">
        <f>IF(COUNTIF(A:A, A91)&gt;=3, "Yes", "No")</f>
        <v>No</v>
      </c>
    </row>
    <row r="92" spans="1:21" x14ac:dyDescent="0.3">
      <c r="A92">
        <v>280</v>
      </c>
      <c r="B92" t="s">
        <v>310</v>
      </c>
      <c r="C92" t="s">
        <v>307</v>
      </c>
      <c r="D92" t="s">
        <v>311</v>
      </c>
      <c r="E92">
        <v>85941</v>
      </c>
      <c r="F92" s="4">
        <v>0.45700000000000002</v>
      </c>
      <c r="G92" t="s">
        <v>316</v>
      </c>
      <c r="H92">
        <v>255072</v>
      </c>
      <c r="I92">
        <v>188252</v>
      </c>
      <c r="J92">
        <v>16446</v>
      </c>
      <c r="K92" s="4">
        <v>8.7361621656078026E-2</v>
      </c>
      <c r="L92" s="4">
        <v>0.73803475097227444</v>
      </c>
      <c r="M92" t="s">
        <v>312</v>
      </c>
      <c r="N92">
        <v>28084</v>
      </c>
      <c r="O92" s="4">
        <v>0.14899999999999999</v>
      </c>
      <c r="P92" t="s">
        <v>328</v>
      </c>
      <c r="Q92">
        <v>25632</v>
      </c>
      <c r="R92" s="4">
        <v>0.1361579159849563</v>
      </c>
      <c r="S92" t="s">
        <v>18</v>
      </c>
      <c r="T92" t="s">
        <v>19</v>
      </c>
      <c r="U92" t="str">
        <f>IF(COUNTIF(A:A, A92)&gt;=3, "Yes", "No")</f>
        <v>Yes</v>
      </c>
    </row>
    <row r="93" spans="1:21" x14ac:dyDescent="0.3">
      <c r="A93" s="5">
        <v>1</v>
      </c>
      <c r="B93" s="5" t="s">
        <v>313</v>
      </c>
      <c r="C93" s="5" t="s">
        <v>314</v>
      </c>
      <c r="D93" s="5" t="s">
        <v>315</v>
      </c>
      <c r="E93" s="5">
        <v>64410</v>
      </c>
      <c r="F93" s="6">
        <f>E93/I93</f>
        <v>0.36786375162771573</v>
      </c>
      <c r="G93" s="5" t="s">
        <v>316</v>
      </c>
      <c r="H93" s="5">
        <v>247070</v>
      </c>
      <c r="I93" s="5">
        <v>175092</v>
      </c>
      <c r="J93" s="5">
        <v>15775</v>
      </c>
      <c r="K93" s="6">
        <f>J93/I93</f>
        <v>9.0095492655289794E-2</v>
      </c>
      <c r="L93" s="6">
        <f>I93/H93</f>
        <v>0.70867365523940584</v>
      </c>
      <c r="M93" s="5" t="s">
        <v>317</v>
      </c>
      <c r="N93" s="5">
        <v>32701</v>
      </c>
      <c r="O93" s="6">
        <f>N93/I93</f>
        <v>0.18676467228656934</v>
      </c>
      <c r="P93" s="5" t="s">
        <v>318</v>
      </c>
      <c r="Q93" s="5">
        <v>22352</v>
      </c>
      <c r="R93" s="6">
        <f>Q93/I93</f>
        <v>0.12765860233477258</v>
      </c>
      <c r="S93" t="s">
        <v>18</v>
      </c>
      <c r="T93" s="5" t="s">
        <v>319</v>
      </c>
      <c r="U93" t="str">
        <f>IF(COUNTIF(A:A, A93)&gt;=3, "Yes", "No")</f>
        <v>No</v>
      </c>
    </row>
    <row r="94" spans="1:21" x14ac:dyDescent="0.3">
      <c r="A94" s="5">
        <v>7</v>
      </c>
      <c r="B94" s="5" t="s">
        <v>324</v>
      </c>
      <c r="C94" s="5" t="s">
        <v>325</v>
      </c>
      <c r="D94" s="5" t="s">
        <v>326</v>
      </c>
      <c r="E94" s="5">
        <v>57780</v>
      </c>
      <c r="F94" s="6">
        <f>E94/I94</f>
        <v>0.37136301409482675</v>
      </c>
      <c r="G94" s="5" t="s">
        <v>318</v>
      </c>
      <c r="H94" s="5">
        <v>286187</v>
      </c>
      <c r="I94" s="5">
        <v>155589</v>
      </c>
      <c r="J94" s="5">
        <v>12928</v>
      </c>
      <c r="K94" s="6">
        <f t="shared" ref="K94:K157" si="0">J94/I94</f>
        <v>8.3090706926582214E-2</v>
      </c>
      <c r="L94" s="6">
        <f t="shared" ref="L94:L157" si="1">I94/H94</f>
        <v>0.54366201120246549</v>
      </c>
      <c r="M94" s="5" t="s">
        <v>327</v>
      </c>
      <c r="N94" s="5">
        <v>27379</v>
      </c>
      <c r="O94" s="6">
        <f>N94/I94</f>
        <v>0.17597002358778577</v>
      </c>
      <c r="P94" s="5" t="s">
        <v>328</v>
      </c>
      <c r="Q94" s="5">
        <v>13909</v>
      </c>
      <c r="R94" s="6">
        <f t="shared" ref="R94:R157" si="2">Q94/I94</f>
        <v>8.9395779907319922E-2</v>
      </c>
      <c r="S94" t="s">
        <v>18</v>
      </c>
      <c r="T94" s="5" t="s">
        <v>319</v>
      </c>
      <c r="U94" t="str">
        <f>IF(COUNTIF(A:A, A94)&gt;=3, "Yes", "No")</f>
        <v>No</v>
      </c>
    </row>
    <row r="95" spans="1:21" x14ac:dyDescent="0.3">
      <c r="A95" s="5">
        <v>8</v>
      </c>
      <c r="B95" s="5" t="s">
        <v>329</v>
      </c>
      <c r="C95" s="5" t="s">
        <v>325</v>
      </c>
      <c r="D95" s="5" t="s">
        <v>330</v>
      </c>
      <c r="E95" s="5">
        <v>92794</v>
      </c>
      <c r="F95" s="6">
        <f t="shared" ref="F95:F158" si="3">E95/I95</f>
        <v>0.46661101836393992</v>
      </c>
      <c r="G95" s="5" t="s">
        <v>318</v>
      </c>
      <c r="H95" s="5">
        <v>307064</v>
      </c>
      <c r="I95" s="5">
        <v>198868</v>
      </c>
      <c r="J95" s="5">
        <v>42158</v>
      </c>
      <c r="K95" s="6">
        <f t="shared" si="0"/>
        <v>0.21198986262244301</v>
      </c>
      <c r="L95" s="6">
        <f t="shared" si="1"/>
        <v>0.64764348800250116</v>
      </c>
      <c r="M95" s="5" t="s">
        <v>331</v>
      </c>
      <c r="N95" s="5">
        <v>48025</v>
      </c>
      <c r="O95" s="6">
        <f t="shared" ref="O95:O158" si="4">N95/I95</f>
        <v>0.24149184383611239</v>
      </c>
      <c r="P95" s="5" t="s">
        <v>316</v>
      </c>
      <c r="Q95" s="5">
        <v>45762</v>
      </c>
      <c r="R95" s="6">
        <f t="shared" si="2"/>
        <v>0.2301124363899672</v>
      </c>
      <c r="S95" t="s">
        <v>18</v>
      </c>
      <c r="T95" s="5" t="s">
        <v>319</v>
      </c>
      <c r="U95" t="str">
        <f>IF(COUNTIF(A:A, A95)&gt;=3, "Yes", "No")</f>
        <v>No</v>
      </c>
    </row>
    <row r="96" spans="1:21" x14ac:dyDescent="0.3">
      <c r="A96" s="5">
        <v>10</v>
      </c>
      <c r="B96" s="5" t="s">
        <v>332</v>
      </c>
      <c r="C96" s="5" t="s">
        <v>333</v>
      </c>
      <c r="D96" s="5" t="s">
        <v>334</v>
      </c>
      <c r="E96" s="5">
        <v>54176</v>
      </c>
      <c r="F96" s="6">
        <f t="shared" si="3"/>
        <v>0.288598505228504</v>
      </c>
      <c r="G96" s="5" t="s">
        <v>328</v>
      </c>
      <c r="H96" s="5">
        <v>278782</v>
      </c>
      <c r="I96" s="5">
        <v>187721</v>
      </c>
      <c r="J96" s="5">
        <v>11935</v>
      </c>
      <c r="K96" s="6">
        <f t="shared" si="0"/>
        <v>6.3578395597722145E-2</v>
      </c>
      <c r="L96" s="6">
        <f t="shared" si="1"/>
        <v>0.6733612643570962</v>
      </c>
      <c r="M96" s="5" t="s">
        <v>335</v>
      </c>
      <c r="N96" s="5">
        <v>30559</v>
      </c>
      <c r="O96" s="6">
        <f t="shared" si="4"/>
        <v>0.16278945882453216</v>
      </c>
      <c r="P96" s="5" t="s">
        <v>318</v>
      </c>
      <c r="Q96" s="5">
        <v>6053</v>
      </c>
      <c r="R96" s="6">
        <f t="shared" si="2"/>
        <v>3.2244660959615597E-2</v>
      </c>
      <c r="S96" t="s">
        <v>18</v>
      </c>
      <c r="T96" s="5" t="s">
        <v>319</v>
      </c>
      <c r="U96" t="str">
        <f>IF(COUNTIF(A:A, A96)&gt;=3, "Yes", "No")</f>
        <v>Yes</v>
      </c>
    </row>
    <row r="97" spans="1:21" x14ac:dyDescent="0.3">
      <c r="A97" s="5">
        <v>11</v>
      </c>
      <c r="B97" s="5" t="s">
        <v>24</v>
      </c>
      <c r="C97" s="5" t="s">
        <v>333</v>
      </c>
      <c r="D97" s="5" t="s">
        <v>339</v>
      </c>
      <c r="E97" s="5">
        <v>65962</v>
      </c>
      <c r="F97" s="6">
        <f t="shared" si="3"/>
        <v>0.35894756890593965</v>
      </c>
      <c r="G97" s="5" t="s">
        <v>318</v>
      </c>
      <c r="H97" s="5">
        <v>275136</v>
      </c>
      <c r="I97" s="5">
        <v>183765</v>
      </c>
      <c r="J97" s="5">
        <v>10000</v>
      </c>
      <c r="K97" s="6">
        <f t="shared" si="0"/>
        <v>5.4417326476750197E-2</v>
      </c>
      <c r="L97" s="6">
        <f t="shared" si="1"/>
        <v>0.66790605373342637</v>
      </c>
      <c r="M97" s="5" t="s">
        <v>340</v>
      </c>
      <c r="N97" s="5">
        <v>31271</v>
      </c>
      <c r="O97" s="6">
        <f t="shared" si="4"/>
        <v>0.17016842162544554</v>
      </c>
      <c r="P97" s="5" t="s">
        <v>341</v>
      </c>
      <c r="Q97" s="5">
        <v>16343</v>
      </c>
      <c r="R97" s="6">
        <f t="shared" si="2"/>
        <v>8.8934236660952848E-2</v>
      </c>
      <c r="S97" t="s">
        <v>18</v>
      </c>
      <c r="T97" s="5" t="s">
        <v>319</v>
      </c>
      <c r="U97" t="str">
        <f>IF(COUNTIF(A:A, A97)&gt;=3, "Yes", "No")</f>
        <v>Yes</v>
      </c>
    </row>
    <row r="98" spans="1:21" x14ac:dyDescent="0.3">
      <c r="A98" s="5">
        <v>14</v>
      </c>
      <c r="B98" s="5" t="s">
        <v>344</v>
      </c>
      <c r="C98" s="5" t="s">
        <v>333</v>
      </c>
      <c r="D98" s="5" t="s">
        <v>345</v>
      </c>
      <c r="E98" s="5">
        <v>84020</v>
      </c>
      <c r="F98" s="6">
        <f t="shared" si="3"/>
        <v>0.44276514792213406</v>
      </c>
      <c r="G98" s="5" t="s">
        <v>328</v>
      </c>
      <c r="H98" s="5">
        <v>287123</v>
      </c>
      <c r="I98" s="5">
        <v>189762</v>
      </c>
      <c r="J98" s="5">
        <v>31367</v>
      </c>
      <c r="K98" s="6">
        <f t="shared" si="0"/>
        <v>0.16529652933674813</v>
      </c>
      <c r="L98" s="6">
        <f t="shared" si="1"/>
        <v>0.66090839117730027</v>
      </c>
      <c r="M98" s="5" t="s">
        <v>346</v>
      </c>
      <c r="N98" s="5">
        <v>44011</v>
      </c>
      <c r="O98" s="6">
        <f t="shared" si="4"/>
        <v>0.23192736164247849</v>
      </c>
      <c r="P98" s="5" t="s">
        <v>318</v>
      </c>
      <c r="Q98" s="5">
        <v>40043</v>
      </c>
      <c r="R98" s="6">
        <f t="shared" si="2"/>
        <v>0.21101695808433724</v>
      </c>
      <c r="S98" t="s">
        <v>18</v>
      </c>
      <c r="T98" s="5" t="s">
        <v>319</v>
      </c>
      <c r="U98" t="str">
        <f>IF(COUNTIF(A:A, A98)&gt;=3, "Yes", "No")</f>
        <v>No</v>
      </c>
    </row>
    <row r="99" spans="1:21" x14ac:dyDescent="0.3">
      <c r="A99" s="5">
        <v>15</v>
      </c>
      <c r="B99" s="5" t="s">
        <v>27</v>
      </c>
      <c r="C99" s="5" t="s">
        <v>333</v>
      </c>
      <c r="D99" s="5" t="s">
        <v>347</v>
      </c>
      <c r="E99" s="5">
        <v>68149</v>
      </c>
      <c r="F99" s="6">
        <f t="shared" si="3"/>
        <v>0.40117617278790624</v>
      </c>
      <c r="G99" s="5" t="s">
        <v>338</v>
      </c>
      <c r="H99" s="5">
        <v>265405</v>
      </c>
      <c r="I99" s="5">
        <v>169873</v>
      </c>
      <c r="J99" s="5">
        <v>21239</v>
      </c>
      <c r="K99" s="6">
        <f t="shared" si="0"/>
        <v>0.12502869790961482</v>
      </c>
      <c r="L99" s="6">
        <f t="shared" si="1"/>
        <v>0.64005199600610385</v>
      </c>
      <c r="M99" s="5" t="s">
        <v>348</v>
      </c>
      <c r="N99" s="5">
        <v>43667</v>
      </c>
      <c r="O99" s="6">
        <f t="shared" si="4"/>
        <v>0.25705674238990306</v>
      </c>
      <c r="P99" s="5" t="s">
        <v>341</v>
      </c>
      <c r="Q99" s="5">
        <v>40788</v>
      </c>
      <c r="R99" s="6">
        <f t="shared" si="2"/>
        <v>0.2401087871527553</v>
      </c>
      <c r="S99" t="s">
        <v>18</v>
      </c>
      <c r="T99" s="5" t="s">
        <v>319</v>
      </c>
      <c r="U99" t="str">
        <f>IF(COUNTIF(A:A, A99)&gt;=3, "Yes", "No")</f>
        <v>No</v>
      </c>
    </row>
    <row r="100" spans="1:21" x14ac:dyDescent="0.3">
      <c r="A100" s="5">
        <v>17</v>
      </c>
      <c r="B100" s="5" t="s">
        <v>352</v>
      </c>
      <c r="C100" s="5" t="s">
        <v>333</v>
      </c>
      <c r="D100" s="5" t="s">
        <v>353</v>
      </c>
      <c r="E100" s="5">
        <v>94754</v>
      </c>
      <c r="F100" s="6">
        <f t="shared" si="3"/>
        <v>0.45152128850873224</v>
      </c>
      <c r="G100" s="5" t="s">
        <v>318</v>
      </c>
      <c r="H100" s="5">
        <v>323486</v>
      </c>
      <c r="I100" s="5">
        <v>209855</v>
      </c>
      <c r="J100" s="5">
        <v>22380</v>
      </c>
      <c r="K100" s="6">
        <f t="shared" si="0"/>
        <v>0.10664506444926258</v>
      </c>
      <c r="L100" s="6">
        <f t="shared" si="1"/>
        <v>0.64872977501344731</v>
      </c>
      <c r="M100" s="5" t="s">
        <v>354</v>
      </c>
      <c r="N100" s="5">
        <v>25689</v>
      </c>
      <c r="O100" s="6">
        <f t="shared" si="4"/>
        <v>0.12241309475590288</v>
      </c>
      <c r="P100" s="5" t="s">
        <v>338</v>
      </c>
      <c r="Q100" s="5">
        <v>20900</v>
      </c>
      <c r="R100" s="6">
        <f t="shared" si="2"/>
        <v>9.959257582616568E-2</v>
      </c>
      <c r="S100" t="s">
        <v>18</v>
      </c>
      <c r="T100" s="5" t="s">
        <v>319</v>
      </c>
      <c r="U100" t="str">
        <f>IF(COUNTIF(A:A, A100)&gt;=3, "Yes", "No")</f>
        <v>No</v>
      </c>
    </row>
    <row r="101" spans="1:21" x14ac:dyDescent="0.3">
      <c r="A101" s="5">
        <v>22</v>
      </c>
      <c r="B101" s="5" t="s">
        <v>355</v>
      </c>
      <c r="C101" s="5" t="s">
        <v>356</v>
      </c>
      <c r="D101" s="5" t="s">
        <v>357</v>
      </c>
      <c r="E101" s="5">
        <v>46985</v>
      </c>
      <c r="F101" s="6">
        <f t="shared" si="3"/>
        <v>0.28660400031719502</v>
      </c>
      <c r="G101" s="5" t="s">
        <v>316</v>
      </c>
      <c r="H101" s="5">
        <v>272798</v>
      </c>
      <c r="I101" s="5">
        <v>163937</v>
      </c>
      <c r="J101" s="5">
        <v>11661</v>
      </c>
      <c r="K101" s="6">
        <f t="shared" si="0"/>
        <v>7.1130983243563081E-2</v>
      </c>
      <c r="L101" s="6">
        <f t="shared" si="1"/>
        <v>0.60094648787747706</v>
      </c>
      <c r="M101" s="5" t="s">
        <v>358</v>
      </c>
      <c r="N101" s="5">
        <v>33237</v>
      </c>
      <c r="O101" s="6">
        <f t="shared" si="4"/>
        <v>0.20274251694248399</v>
      </c>
      <c r="P101" s="5" t="s">
        <v>318</v>
      </c>
      <c r="Q101" s="5">
        <v>291</v>
      </c>
      <c r="R101" s="6">
        <f t="shared" si="2"/>
        <v>1.7750721313675374E-3</v>
      </c>
      <c r="S101" t="s">
        <v>18</v>
      </c>
      <c r="T101" s="5" t="s">
        <v>319</v>
      </c>
      <c r="U101" t="str">
        <f>IF(COUNTIF(A:A, A101)&gt;=3, "Yes", "No")</f>
        <v>No</v>
      </c>
    </row>
    <row r="102" spans="1:21" x14ac:dyDescent="0.3">
      <c r="A102" s="5">
        <v>23</v>
      </c>
      <c r="B102" s="5" t="s">
        <v>361</v>
      </c>
      <c r="C102" s="5" t="s">
        <v>356</v>
      </c>
      <c r="D102" s="5" t="s">
        <v>362</v>
      </c>
      <c r="E102" s="5">
        <v>61581</v>
      </c>
      <c r="F102" s="6">
        <f t="shared" si="3"/>
        <v>0.3385375722225582</v>
      </c>
      <c r="G102" s="5" t="s">
        <v>316</v>
      </c>
      <c r="H102" s="5">
        <v>265527</v>
      </c>
      <c r="I102" s="5">
        <v>181903</v>
      </c>
      <c r="J102" s="5">
        <v>14061</v>
      </c>
      <c r="K102" s="6">
        <f t="shared" si="0"/>
        <v>7.7299439811328016E-2</v>
      </c>
      <c r="L102" s="6">
        <f t="shared" si="1"/>
        <v>0.68506404245142682</v>
      </c>
      <c r="M102" s="5" t="s">
        <v>363</v>
      </c>
      <c r="N102" s="5">
        <v>33699</v>
      </c>
      <c r="O102" s="6">
        <f t="shared" si="4"/>
        <v>0.18525807710702957</v>
      </c>
      <c r="P102" s="5" t="s">
        <v>341</v>
      </c>
      <c r="Q102" s="5">
        <v>6770</v>
      </c>
      <c r="R102" s="6">
        <f t="shared" si="2"/>
        <v>3.7217637971886118E-2</v>
      </c>
      <c r="S102" t="s">
        <v>18</v>
      </c>
      <c r="T102" s="5" t="s">
        <v>319</v>
      </c>
      <c r="U102" t="str">
        <f>IF(COUNTIF(A:A, A102)&gt;=3, "Yes", "No")</f>
        <v>No</v>
      </c>
    </row>
    <row r="103" spans="1:21" x14ac:dyDescent="0.3">
      <c r="A103" s="5">
        <v>24</v>
      </c>
      <c r="B103" s="5" t="s">
        <v>34</v>
      </c>
      <c r="C103" s="5" t="s">
        <v>356</v>
      </c>
      <c r="D103" s="5" t="s">
        <v>364</v>
      </c>
      <c r="E103" s="5">
        <v>64203</v>
      </c>
      <c r="F103" s="6">
        <f t="shared" si="3"/>
        <v>0.34880423326415527</v>
      </c>
      <c r="G103" s="5" t="s">
        <v>328</v>
      </c>
      <c r="H103" s="5">
        <v>284006</v>
      </c>
      <c r="I103" s="5">
        <v>184066</v>
      </c>
      <c r="J103" s="5">
        <v>18854</v>
      </c>
      <c r="K103" s="6">
        <f t="shared" si="0"/>
        <v>0.1024306498755881</v>
      </c>
      <c r="L103" s="6">
        <f t="shared" si="1"/>
        <v>0.64810602592902966</v>
      </c>
      <c r="M103" s="5" t="s">
        <v>365</v>
      </c>
      <c r="N103" s="5">
        <v>37161</v>
      </c>
      <c r="O103" s="6">
        <f t="shared" si="4"/>
        <v>0.20188953962165745</v>
      </c>
      <c r="P103" s="5" t="s">
        <v>341</v>
      </c>
      <c r="Q103" s="5">
        <v>23628</v>
      </c>
      <c r="R103" s="6">
        <f t="shared" si="2"/>
        <v>0.12836699879391089</v>
      </c>
      <c r="S103" t="s">
        <v>18</v>
      </c>
      <c r="T103" s="5" t="s">
        <v>319</v>
      </c>
      <c r="U103" t="str">
        <f>IF(COUNTIF(A:A, A103)&gt;=3, "Yes", "No")</f>
        <v>No</v>
      </c>
    </row>
    <row r="104" spans="1:21" x14ac:dyDescent="0.3">
      <c r="A104" s="5">
        <v>28</v>
      </c>
      <c r="B104" s="5" t="s">
        <v>370</v>
      </c>
      <c r="C104" s="5" t="s">
        <v>371</v>
      </c>
      <c r="D104" s="5" t="s">
        <v>372</v>
      </c>
      <c r="E104" s="5">
        <v>70086</v>
      </c>
      <c r="F104" s="6">
        <f t="shared" si="3"/>
        <v>0.42301262048610899</v>
      </c>
      <c r="G104" s="5" t="s">
        <v>318</v>
      </c>
      <c r="H104" s="5">
        <v>272708</v>
      </c>
      <c r="I104" s="5">
        <v>165683</v>
      </c>
      <c r="J104" s="5">
        <v>31411</v>
      </c>
      <c r="K104" s="6">
        <f t="shared" si="0"/>
        <v>0.18958493025838499</v>
      </c>
      <c r="L104" s="6">
        <f t="shared" si="1"/>
        <v>0.60754726667351155</v>
      </c>
      <c r="M104" s="5" t="s">
        <v>373</v>
      </c>
      <c r="N104" s="5">
        <v>32350</v>
      </c>
      <c r="O104" s="6">
        <f t="shared" si="4"/>
        <v>0.1952523795440691</v>
      </c>
      <c r="P104" s="5" t="s">
        <v>374</v>
      </c>
      <c r="Q104" s="5">
        <v>18326</v>
      </c>
      <c r="R104" s="6">
        <f t="shared" si="2"/>
        <v>0.11060881321559846</v>
      </c>
      <c r="S104" t="s">
        <v>18</v>
      </c>
      <c r="T104" s="5" t="s">
        <v>319</v>
      </c>
      <c r="U104" t="str">
        <f>IF(COUNTIF(A:A, A104)&gt;=3, "Yes", "No")</f>
        <v>No</v>
      </c>
    </row>
    <row r="105" spans="1:21" x14ac:dyDescent="0.3">
      <c r="A105" s="5">
        <v>32</v>
      </c>
      <c r="B105" s="5" t="s">
        <v>379</v>
      </c>
      <c r="C105" s="5" t="s">
        <v>371</v>
      </c>
      <c r="D105" s="5" t="s">
        <v>380</v>
      </c>
      <c r="E105" s="5">
        <v>54226</v>
      </c>
      <c r="F105" s="6">
        <f t="shared" si="3"/>
        <v>0.34635479873788022</v>
      </c>
      <c r="G105" s="5" t="s">
        <v>318</v>
      </c>
      <c r="H105" s="5">
        <v>293003</v>
      </c>
      <c r="I105" s="5">
        <v>156562</v>
      </c>
      <c r="J105" s="5">
        <v>12888</v>
      </c>
      <c r="K105" s="6">
        <f t="shared" si="0"/>
        <v>8.2318825768705056E-2</v>
      </c>
      <c r="L105" s="6">
        <f t="shared" si="1"/>
        <v>0.53433582591304529</v>
      </c>
      <c r="M105" s="5" t="s">
        <v>381</v>
      </c>
      <c r="N105" s="5">
        <v>24486</v>
      </c>
      <c r="O105" s="6">
        <f t="shared" si="4"/>
        <v>0.15639810426540285</v>
      </c>
      <c r="P105" s="5" t="s">
        <v>328</v>
      </c>
      <c r="Q105" s="5">
        <v>6442</v>
      </c>
      <c r="R105" s="6">
        <f t="shared" si="2"/>
        <v>4.114663839245794E-2</v>
      </c>
      <c r="S105" t="s">
        <v>18</v>
      </c>
      <c r="T105" s="5" t="s">
        <v>319</v>
      </c>
      <c r="U105" t="str">
        <f>IF(COUNTIF(A:A, A105)&gt;=3, "Yes", "No")</f>
        <v>No</v>
      </c>
    </row>
    <row r="106" spans="1:21" x14ac:dyDescent="0.3">
      <c r="A106" s="5">
        <v>33</v>
      </c>
      <c r="B106" s="5" t="s">
        <v>382</v>
      </c>
      <c r="C106" s="5" t="s">
        <v>383</v>
      </c>
      <c r="D106" s="5" t="s">
        <v>384</v>
      </c>
      <c r="E106" s="5">
        <v>70939</v>
      </c>
      <c r="F106" s="6">
        <f t="shared" si="3"/>
        <v>0.38404985030831612</v>
      </c>
      <c r="G106" s="5" t="s">
        <v>316</v>
      </c>
      <c r="H106" s="5">
        <v>291327</v>
      </c>
      <c r="I106" s="5">
        <v>184713</v>
      </c>
      <c r="J106" s="5">
        <v>16808</v>
      </c>
      <c r="K106" s="6">
        <f t="shared" si="0"/>
        <v>9.0995219610964032E-2</v>
      </c>
      <c r="L106" s="6">
        <f t="shared" si="1"/>
        <v>0.63404009926989258</v>
      </c>
      <c r="M106" s="5" t="s">
        <v>385</v>
      </c>
      <c r="N106" s="5">
        <v>18425</v>
      </c>
      <c r="O106" s="6">
        <f t="shared" si="4"/>
        <v>9.9749340869348668E-2</v>
      </c>
      <c r="P106" s="5" t="s">
        <v>328</v>
      </c>
      <c r="Q106" s="5">
        <v>3077</v>
      </c>
      <c r="R106" s="6">
        <f t="shared" si="2"/>
        <v>1.665827527028417E-2</v>
      </c>
      <c r="S106" t="s">
        <v>18</v>
      </c>
      <c r="T106" s="5" t="s">
        <v>319</v>
      </c>
      <c r="U106" t="str">
        <f>IF(COUNTIF(A:A, A106)&gt;=3, "Yes", "No")</f>
        <v>No</v>
      </c>
    </row>
    <row r="107" spans="1:21" x14ac:dyDescent="0.3">
      <c r="A107" s="5">
        <v>39</v>
      </c>
      <c r="B107" s="5" t="s">
        <v>392</v>
      </c>
      <c r="C107" s="5" t="s">
        <v>393</v>
      </c>
      <c r="D107" s="5" t="s">
        <v>394</v>
      </c>
      <c r="E107" s="5">
        <v>58808</v>
      </c>
      <c r="F107" s="6">
        <f t="shared" si="3"/>
        <v>0.34530785762098809</v>
      </c>
      <c r="G107" s="5" t="s">
        <v>316</v>
      </c>
      <c r="H107" s="5">
        <v>270408</v>
      </c>
      <c r="I107" s="5">
        <v>170306</v>
      </c>
      <c r="J107" s="5">
        <v>20441</v>
      </c>
      <c r="K107" s="6">
        <f t="shared" si="0"/>
        <v>0.12002513123436638</v>
      </c>
      <c r="L107" s="6">
        <f t="shared" si="1"/>
        <v>0.62981124818792344</v>
      </c>
      <c r="M107" s="5" t="s">
        <v>395</v>
      </c>
      <c r="N107" s="5">
        <v>28671</v>
      </c>
      <c r="O107" s="6">
        <f t="shared" si="4"/>
        <v>0.16834991133606567</v>
      </c>
      <c r="P107" s="5" t="s">
        <v>328</v>
      </c>
      <c r="Q107" s="5">
        <v>17317</v>
      </c>
      <c r="R107" s="6">
        <f t="shared" si="2"/>
        <v>0.10168167886040422</v>
      </c>
      <c r="S107" t="s">
        <v>18</v>
      </c>
      <c r="T107" s="5" t="s">
        <v>319</v>
      </c>
      <c r="U107" t="str">
        <f>IF(COUNTIF(A:A, A107)&gt;=3, "Yes", "No")</f>
        <v>No</v>
      </c>
    </row>
    <row r="108" spans="1:21" x14ac:dyDescent="0.3">
      <c r="A108" s="5">
        <v>40</v>
      </c>
      <c r="B108" s="5" t="s">
        <v>398</v>
      </c>
      <c r="C108" s="5" t="s">
        <v>393</v>
      </c>
      <c r="D108" s="5" t="s">
        <v>399</v>
      </c>
      <c r="E108" s="5">
        <v>64224</v>
      </c>
      <c r="F108" s="6">
        <f t="shared" si="3"/>
        <v>0.35146168748016243</v>
      </c>
      <c r="G108" s="5" t="s">
        <v>318</v>
      </c>
      <c r="H108" s="5">
        <v>281520</v>
      </c>
      <c r="I108" s="5">
        <v>182734</v>
      </c>
      <c r="J108" s="5">
        <v>19582</v>
      </c>
      <c r="K108" s="6">
        <f t="shared" si="0"/>
        <v>0.10716122889008066</v>
      </c>
      <c r="L108" s="6">
        <f t="shared" si="1"/>
        <v>0.64909775504404665</v>
      </c>
      <c r="M108" s="5" t="s">
        <v>400</v>
      </c>
      <c r="N108" s="5">
        <v>32256</v>
      </c>
      <c r="O108" s="6">
        <f t="shared" si="4"/>
        <v>0.17651887442949862</v>
      </c>
      <c r="P108" s="5" t="s">
        <v>328</v>
      </c>
      <c r="Q108" s="5">
        <v>17585</v>
      </c>
      <c r="R108" s="6">
        <f t="shared" si="2"/>
        <v>9.6232775509757354E-2</v>
      </c>
      <c r="S108" t="s">
        <v>18</v>
      </c>
      <c r="T108" s="5" t="s">
        <v>319</v>
      </c>
      <c r="U108" t="str">
        <f>IF(COUNTIF(A:A, A108)&gt;=3, "Yes", "No")</f>
        <v>No</v>
      </c>
    </row>
    <row r="109" spans="1:21" x14ac:dyDescent="0.3">
      <c r="A109" s="5">
        <v>42</v>
      </c>
      <c r="B109" s="5" t="s">
        <v>401</v>
      </c>
      <c r="C109" s="5" t="s">
        <v>393</v>
      </c>
      <c r="D109" s="5" t="s">
        <v>402</v>
      </c>
      <c r="E109" s="5">
        <v>59234</v>
      </c>
      <c r="F109" s="6">
        <f t="shared" si="3"/>
        <v>0.33024095982516194</v>
      </c>
      <c r="G109" s="5" t="s">
        <v>338</v>
      </c>
      <c r="H109" s="5">
        <v>253318</v>
      </c>
      <c r="I109" s="5">
        <v>179366</v>
      </c>
      <c r="J109" s="5">
        <v>10170</v>
      </c>
      <c r="K109" s="6">
        <f t="shared" si="0"/>
        <v>5.6699708974945084E-2</v>
      </c>
      <c r="L109" s="6">
        <f t="shared" si="1"/>
        <v>0.70806654086957899</v>
      </c>
      <c r="M109" s="5" t="s">
        <v>403</v>
      </c>
      <c r="N109" s="5">
        <v>26490</v>
      </c>
      <c r="O109" s="6">
        <f t="shared" si="4"/>
        <v>0.14768685258075667</v>
      </c>
      <c r="P109" s="5" t="s">
        <v>316</v>
      </c>
      <c r="Q109" s="5">
        <v>5888</v>
      </c>
      <c r="R109" s="6">
        <f t="shared" si="2"/>
        <v>3.2826734163665355E-2</v>
      </c>
      <c r="S109" t="s">
        <v>18</v>
      </c>
      <c r="T109" s="5" t="s">
        <v>319</v>
      </c>
      <c r="U109" t="str">
        <f>IF(COUNTIF(A:A, A109)&gt;=3, "Yes", "No")</f>
        <v>No</v>
      </c>
    </row>
    <row r="110" spans="1:21" x14ac:dyDescent="0.3">
      <c r="A110" s="5">
        <v>47</v>
      </c>
      <c r="B110" s="5" t="s">
        <v>58</v>
      </c>
      <c r="C110" s="5" t="s">
        <v>404</v>
      </c>
      <c r="D110" s="5" t="s">
        <v>405</v>
      </c>
      <c r="E110" s="5">
        <v>45897</v>
      </c>
      <c r="F110" s="6">
        <f t="shared" si="3"/>
        <v>0.277040363616609</v>
      </c>
      <c r="G110" s="5" t="s">
        <v>318</v>
      </c>
      <c r="H110" s="5">
        <v>283104</v>
      </c>
      <c r="I110" s="5">
        <v>165669</v>
      </c>
      <c r="J110" s="5">
        <v>8550</v>
      </c>
      <c r="K110" s="6">
        <f t="shared" si="0"/>
        <v>5.1608931061333137E-2</v>
      </c>
      <c r="L110" s="6">
        <f t="shared" si="1"/>
        <v>0.58518777551712442</v>
      </c>
      <c r="M110" s="5" t="s">
        <v>406</v>
      </c>
      <c r="N110" s="5">
        <v>22283</v>
      </c>
      <c r="O110" s="6">
        <f t="shared" si="4"/>
        <v>0.13450313577072356</v>
      </c>
      <c r="P110" s="5" t="s">
        <v>391</v>
      </c>
      <c r="Q110" s="5">
        <v>3416</v>
      </c>
      <c r="R110" s="6">
        <f t="shared" si="2"/>
        <v>2.0619427895381754E-2</v>
      </c>
      <c r="S110" t="s">
        <v>18</v>
      </c>
      <c r="T110" s="5" t="s">
        <v>319</v>
      </c>
      <c r="U110" t="str">
        <f>IF(COUNTIF(A:A, A110)&gt;=3, "Yes", "No")</f>
        <v>No</v>
      </c>
    </row>
    <row r="111" spans="1:21" x14ac:dyDescent="0.3">
      <c r="A111" s="5">
        <v>57</v>
      </c>
      <c r="B111" s="5" t="s">
        <v>65</v>
      </c>
      <c r="C111" s="5" t="s">
        <v>408</v>
      </c>
      <c r="D111" s="5" t="s">
        <v>411</v>
      </c>
      <c r="E111" s="5">
        <v>68905</v>
      </c>
      <c r="F111" s="6">
        <f t="shared" si="3"/>
        <v>0.37925321708882359</v>
      </c>
      <c r="G111" s="5" t="s">
        <v>318</v>
      </c>
      <c r="H111" s="5">
        <v>338120</v>
      </c>
      <c r="I111" s="5">
        <v>181686</v>
      </c>
      <c r="J111" s="5">
        <v>13718</v>
      </c>
      <c r="K111" s="6">
        <f t="shared" si="0"/>
        <v>7.5503891328996181E-2</v>
      </c>
      <c r="L111" s="6">
        <f t="shared" si="1"/>
        <v>0.53734177215189871</v>
      </c>
      <c r="M111" s="5" t="s">
        <v>412</v>
      </c>
      <c r="N111" s="5">
        <v>50042</v>
      </c>
      <c r="O111" s="6">
        <f t="shared" si="4"/>
        <v>0.27543123851039708</v>
      </c>
      <c r="P111" s="5" t="s">
        <v>316</v>
      </c>
      <c r="Q111" s="5">
        <v>49135</v>
      </c>
      <c r="R111" s="6">
        <f t="shared" si="2"/>
        <v>0.27043910923241199</v>
      </c>
      <c r="S111" t="s">
        <v>18</v>
      </c>
      <c r="T111" s="5" t="s">
        <v>319</v>
      </c>
      <c r="U111" t="str">
        <f>IF(COUNTIF(A:A, A111)&gt;=3, "Yes", "No")</f>
        <v>Yes</v>
      </c>
    </row>
    <row r="112" spans="1:21" x14ac:dyDescent="0.3">
      <c r="A112" s="5">
        <v>59</v>
      </c>
      <c r="B112" s="5" t="s">
        <v>414</v>
      </c>
      <c r="C112" s="5" t="s">
        <v>408</v>
      </c>
      <c r="D112" s="5" t="s">
        <v>415</v>
      </c>
      <c r="E112" s="5">
        <v>59343</v>
      </c>
      <c r="F112" s="6">
        <f t="shared" si="3"/>
        <v>0.34903746051911844</v>
      </c>
      <c r="G112" s="5" t="s">
        <v>318</v>
      </c>
      <c r="H112" s="5">
        <v>247504</v>
      </c>
      <c r="I112" s="5">
        <v>170019</v>
      </c>
      <c r="J112" s="5">
        <v>12081</v>
      </c>
      <c r="K112" s="6">
        <f t="shared" si="0"/>
        <v>7.1056764243996262E-2</v>
      </c>
      <c r="L112" s="6">
        <f t="shared" si="1"/>
        <v>0.68693435257612001</v>
      </c>
      <c r="M112" s="5" t="s">
        <v>416</v>
      </c>
      <c r="N112" s="5">
        <v>35546</v>
      </c>
      <c r="O112" s="6">
        <f t="shared" si="4"/>
        <v>0.20907075091607408</v>
      </c>
      <c r="P112" s="5" t="s">
        <v>316</v>
      </c>
      <c r="Q112" s="5">
        <v>26384</v>
      </c>
      <c r="R112" s="6">
        <f t="shared" si="2"/>
        <v>0.15518265605608786</v>
      </c>
      <c r="S112" t="s">
        <v>18</v>
      </c>
      <c r="T112" s="5" t="s">
        <v>319</v>
      </c>
      <c r="U112" t="str">
        <f>IF(COUNTIF(A:A, A112)&gt;=3, "Yes", "No")</f>
        <v>No</v>
      </c>
    </row>
    <row r="113" spans="1:21" x14ac:dyDescent="0.3">
      <c r="A113" s="5">
        <v>60</v>
      </c>
      <c r="B113" s="5" t="s">
        <v>419</v>
      </c>
      <c r="C113" s="5" t="s">
        <v>420</v>
      </c>
      <c r="D113" s="5" t="s">
        <v>421</v>
      </c>
      <c r="E113" s="5">
        <v>73952</v>
      </c>
      <c r="F113" s="6">
        <f t="shared" si="3"/>
        <v>0.36535563778648394</v>
      </c>
      <c r="G113" s="5" t="s">
        <v>318</v>
      </c>
      <c r="H113" s="5">
        <v>282319</v>
      </c>
      <c r="I113" s="5">
        <v>202411</v>
      </c>
      <c r="J113" s="5">
        <v>28679</v>
      </c>
      <c r="K113" s="6">
        <f t="shared" si="0"/>
        <v>0.14168696365316114</v>
      </c>
      <c r="L113" s="6">
        <f t="shared" si="1"/>
        <v>0.71695847605014185</v>
      </c>
      <c r="M113" s="5" t="s">
        <v>422</v>
      </c>
      <c r="N113" s="5">
        <v>36005</v>
      </c>
      <c r="O113" s="6">
        <f t="shared" si="4"/>
        <v>0.17788064877896953</v>
      </c>
      <c r="P113" s="5" t="s">
        <v>328</v>
      </c>
      <c r="Q113" s="5">
        <v>18426</v>
      </c>
      <c r="R113" s="6">
        <f t="shared" si="2"/>
        <v>9.1032601983093805E-2</v>
      </c>
      <c r="S113" t="s">
        <v>18</v>
      </c>
      <c r="T113" s="5" t="s">
        <v>319</v>
      </c>
      <c r="U113" t="str">
        <f>IF(COUNTIF(A:A, A113)&gt;=3, "Yes", "No")</f>
        <v>No</v>
      </c>
    </row>
    <row r="114" spans="1:21" x14ac:dyDescent="0.3">
      <c r="A114" s="5">
        <v>61</v>
      </c>
      <c r="B114" s="5" t="s">
        <v>423</v>
      </c>
      <c r="C114" s="5" t="s">
        <v>420</v>
      </c>
      <c r="D114" s="5" t="s">
        <v>424</v>
      </c>
      <c r="E114" s="5">
        <v>83408</v>
      </c>
      <c r="F114" s="6">
        <f t="shared" si="3"/>
        <v>0.35657396917683776</v>
      </c>
      <c r="G114" s="5" t="s">
        <v>318</v>
      </c>
      <c r="H114" s="5">
        <v>341185</v>
      </c>
      <c r="I114" s="5">
        <v>233915</v>
      </c>
      <c r="J114" s="5">
        <v>36832</v>
      </c>
      <c r="K114" s="6">
        <f t="shared" si="0"/>
        <v>0.15745890601286791</v>
      </c>
      <c r="L114" s="6">
        <f t="shared" si="1"/>
        <v>0.68559579113970426</v>
      </c>
      <c r="M114" s="5" t="s">
        <v>425</v>
      </c>
      <c r="N114" s="5">
        <v>42766</v>
      </c>
      <c r="O114" s="6">
        <f t="shared" si="4"/>
        <v>0.1828270953123998</v>
      </c>
      <c r="P114" s="5" t="s">
        <v>328</v>
      </c>
      <c r="Q114" s="5">
        <v>12111</v>
      </c>
      <c r="R114" s="6">
        <f t="shared" si="2"/>
        <v>5.1775217493533976E-2</v>
      </c>
      <c r="S114" t="s">
        <v>18</v>
      </c>
      <c r="T114" s="5" t="s">
        <v>319</v>
      </c>
      <c r="U114" t="str">
        <f>IF(COUNTIF(A:A, A114)&gt;=3, "Yes", "No")</f>
        <v>No</v>
      </c>
    </row>
    <row r="115" spans="1:21" x14ac:dyDescent="0.3">
      <c r="A115" s="5">
        <v>62</v>
      </c>
      <c r="B115" s="5" t="s">
        <v>426</v>
      </c>
      <c r="C115" s="5" t="s">
        <v>420</v>
      </c>
      <c r="D115" s="5" t="s">
        <v>427</v>
      </c>
      <c r="E115" s="5">
        <v>80902</v>
      </c>
      <c r="F115" s="6">
        <f t="shared" si="3"/>
        <v>0.36946613691373248</v>
      </c>
      <c r="G115" s="5" t="s">
        <v>318</v>
      </c>
      <c r="H115" s="5">
        <v>296188</v>
      </c>
      <c r="I115" s="5">
        <v>218970</v>
      </c>
      <c r="J115" s="5">
        <v>25489</v>
      </c>
      <c r="K115" s="6">
        <f t="shared" si="0"/>
        <v>0.11640407361739051</v>
      </c>
      <c r="L115" s="6">
        <f t="shared" si="1"/>
        <v>0.73929396194309016</v>
      </c>
      <c r="M115" s="5" t="s">
        <v>428</v>
      </c>
      <c r="N115" s="5">
        <v>31649</v>
      </c>
      <c r="O115" s="6">
        <f t="shared" si="4"/>
        <v>0.14453578115723614</v>
      </c>
      <c r="P115" s="5" t="s">
        <v>391</v>
      </c>
      <c r="Q115" s="5">
        <v>11761</v>
      </c>
      <c r="R115" s="6">
        <f t="shared" si="2"/>
        <v>5.3710553957163079E-2</v>
      </c>
      <c r="S115" t="s">
        <v>18</v>
      </c>
      <c r="T115" s="5" t="s">
        <v>319</v>
      </c>
      <c r="U115" t="str">
        <f>IF(COUNTIF(A:A, A115)&gt;=3, "Yes", "No")</f>
        <v>No</v>
      </c>
    </row>
    <row r="116" spans="1:21" x14ac:dyDescent="0.3">
      <c r="A116" s="5">
        <v>63</v>
      </c>
      <c r="B116" s="5" t="s">
        <v>429</v>
      </c>
      <c r="C116" s="5" t="s">
        <v>430</v>
      </c>
      <c r="D116" s="5" t="s">
        <v>431</v>
      </c>
      <c r="E116" s="5">
        <v>64401</v>
      </c>
      <c r="F116" s="6">
        <f t="shared" si="3"/>
        <v>0.37588205424524174</v>
      </c>
      <c r="G116" s="5" t="s">
        <v>318</v>
      </c>
      <c r="H116" s="5">
        <v>239073</v>
      </c>
      <c r="I116" s="5">
        <v>171333</v>
      </c>
      <c r="J116" s="5">
        <v>30295</v>
      </c>
      <c r="K116" s="6">
        <f t="shared" si="0"/>
        <v>0.17681941015449446</v>
      </c>
      <c r="L116" s="6">
        <f t="shared" si="1"/>
        <v>0.71665558218619418</v>
      </c>
      <c r="M116" s="5" t="s">
        <v>432</v>
      </c>
      <c r="N116" s="5">
        <v>31893</v>
      </c>
      <c r="O116" s="6">
        <f t="shared" si="4"/>
        <v>0.18614627654917618</v>
      </c>
      <c r="P116" s="5" t="s">
        <v>341</v>
      </c>
      <c r="Q116" s="5">
        <v>16557</v>
      </c>
      <c r="R116" s="6">
        <f t="shared" si="2"/>
        <v>9.6636374778939257E-2</v>
      </c>
      <c r="S116" t="s">
        <v>18</v>
      </c>
      <c r="T116" s="5" t="s">
        <v>319</v>
      </c>
      <c r="U116" t="str">
        <f>IF(COUNTIF(A:A, A116)&gt;=3, "Yes", "No")</f>
        <v>No</v>
      </c>
    </row>
    <row r="117" spans="1:21" x14ac:dyDescent="0.3">
      <c r="A117" s="5">
        <v>64</v>
      </c>
      <c r="B117" s="5" t="s">
        <v>433</v>
      </c>
      <c r="C117" s="5" t="s">
        <v>430</v>
      </c>
      <c r="D117" s="5" t="s">
        <v>434</v>
      </c>
      <c r="E117" s="5">
        <v>54160</v>
      </c>
      <c r="F117" s="6">
        <f t="shared" si="3"/>
        <v>0.32214701228869513</v>
      </c>
      <c r="G117" s="5" t="s">
        <v>318</v>
      </c>
      <c r="H117" s="5">
        <v>239939</v>
      </c>
      <c r="I117" s="5">
        <v>168122</v>
      </c>
      <c r="J117" s="5">
        <v>13098</v>
      </c>
      <c r="K117" s="6">
        <f t="shared" si="0"/>
        <v>7.7907709877350975E-2</v>
      </c>
      <c r="L117" s="6">
        <f t="shared" si="1"/>
        <v>0.70068642446621854</v>
      </c>
      <c r="M117" s="5" t="s">
        <v>435</v>
      </c>
      <c r="N117" s="5">
        <v>31147</v>
      </c>
      <c r="O117" s="6">
        <f t="shared" si="4"/>
        <v>0.18526427237363344</v>
      </c>
      <c r="P117" s="5" t="s">
        <v>341</v>
      </c>
      <c r="Q117" s="5">
        <v>12971</v>
      </c>
      <c r="R117" s="6">
        <f t="shared" si="2"/>
        <v>7.7152306063453926E-2</v>
      </c>
      <c r="S117" t="s">
        <v>18</v>
      </c>
      <c r="T117" s="5" t="s">
        <v>319</v>
      </c>
      <c r="U117" t="str">
        <f>IF(COUNTIF(A:A, A117)&gt;=3, "Yes", "No")</f>
        <v>No</v>
      </c>
    </row>
    <row r="118" spans="1:21" x14ac:dyDescent="0.3">
      <c r="A118" s="5">
        <v>65</v>
      </c>
      <c r="B118" s="5" t="s">
        <v>68</v>
      </c>
      <c r="C118" s="5" t="s">
        <v>430</v>
      </c>
      <c r="D118" s="5" t="s">
        <v>438</v>
      </c>
      <c r="E118" s="5">
        <v>62701</v>
      </c>
      <c r="F118" s="6">
        <f t="shared" si="3"/>
        <v>0.32030671305165181</v>
      </c>
      <c r="G118" s="5" t="s">
        <v>316</v>
      </c>
      <c r="H118" s="5">
        <v>294399</v>
      </c>
      <c r="I118" s="5">
        <v>195753</v>
      </c>
      <c r="J118" s="5">
        <v>10758</v>
      </c>
      <c r="K118" s="6">
        <f t="shared" si="0"/>
        <v>5.4957012153070452E-2</v>
      </c>
      <c r="L118" s="6">
        <f t="shared" si="1"/>
        <v>0.66492413357382329</v>
      </c>
      <c r="M118" s="5" t="s">
        <v>439</v>
      </c>
      <c r="N118" s="5">
        <v>33150</v>
      </c>
      <c r="O118" s="6">
        <f t="shared" si="4"/>
        <v>0.16934606366185959</v>
      </c>
      <c r="P118" s="5" t="s">
        <v>341</v>
      </c>
      <c r="Q118" s="5">
        <v>12274</v>
      </c>
      <c r="R118" s="6">
        <f t="shared" si="2"/>
        <v>6.2701465622493652E-2</v>
      </c>
      <c r="S118" t="s">
        <v>18</v>
      </c>
      <c r="T118" s="5" t="s">
        <v>319</v>
      </c>
      <c r="U118" t="str">
        <f>IF(COUNTIF(A:A, A118)&gt;=3, "Yes", "No")</f>
        <v>No</v>
      </c>
    </row>
    <row r="119" spans="1:21" x14ac:dyDescent="0.3">
      <c r="A119" s="5">
        <v>66</v>
      </c>
      <c r="B119" s="5" t="s">
        <v>440</v>
      </c>
      <c r="C119" s="5" t="s">
        <v>430</v>
      </c>
      <c r="D119" s="5" t="s">
        <v>441</v>
      </c>
      <c r="E119" s="5">
        <v>62590</v>
      </c>
      <c r="F119" s="6">
        <f t="shared" si="3"/>
        <v>0.35525359851064797</v>
      </c>
      <c r="G119" s="5" t="s">
        <v>318</v>
      </c>
      <c r="H119" s="5">
        <v>252649</v>
      </c>
      <c r="I119" s="5">
        <v>176184</v>
      </c>
      <c r="J119" s="5">
        <v>18295</v>
      </c>
      <c r="K119" s="6">
        <f t="shared" si="0"/>
        <v>0.10384030331925714</v>
      </c>
      <c r="L119" s="6">
        <f t="shared" si="1"/>
        <v>0.69734691211918509</v>
      </c>
      <c r="M119" s="5" t="s">
        <v>442</v>
      </c>
      <c r="N119" s="5">
        <v>35911</v>
      </c>
      <c r="O119" s="6">
        <f t="shared" si="4"/>
        <v>0.20382668119693048</v>
      </c>
      <c r="P119" s="5" t="s">
        <v>341</v>
      </c>
      <c r="Q119" s="5">
        <v>22497</v>
      </c>
      <c r="R119" s="6">
        <f t="shared" si="2"/>
        <v>0.12769036915951507</v>
      </c>
      <c r="S119" t="s">
        <v>18</v>
      </c>
      <c r="T119" s="5" t="s">
        <v>319</v>
      </c>
      <c r="U119" t="str">
        <f>IF(COUNTIF(A:A, A119)&gt;=3, "Yes", "No")</f>
        <v>No</v>
      </c>
    </row>
    <row r="120" spans="1:21" x14ac:dyDescent="0.3">
      <c r="A120" s="5">
        <v>67</v>
      </c>
      <c r="B120" s="5" t="s">
        <v>443</v>
      </c>
      <c r="C120" s="5" t="s">
        <v>444</v>
      </c>
      <c r="D120" s="5" t="s">
        <v>445</v>
      </c>
      <c r="E120" s="5">
        <v>60413</v>
      </c>
      <c r="F120" s="6">
        <f t="shared" si="3"/>
        <v>0.34949496118201068</v>
      </c>
      <c r="G120" s="5" t="s">
        <v>318</v>
      </c>
      <c r="H120" s="5">
        <v>238937</v>
      </c>
      <c r="I120" s="5">
        <v>172858</v>
      </c>
      <c r="J120" s="5">
        <v>12733</v>
      </c>
      <c r="K120" s="6">
        <f t="shared" si="0"/>
        <v>7.3661618206851867E-2</v>
      </c>
      <c r="L120" s="6">
        <f t="shared" si="1"/>
        <v>0.72344592926168827</v>
      </c>
      <c r="M120" s="5" t="s">
        <v>446</v>
      </c>
      <c r="N120" s="5">
        <v>15697</v>
      </c>
      <c r="O120" s="6">
        <f t="shared" si="4"/>
        <v>9.0808640618310982E-2</v>
      </c>
      <c r="P120" s="5" t="s">
        <v>391</v>
      </c>
      <c r="Q120" s="5">
        <v>1473</v>
      </c>
      <c r="R120" s="6">
        <f t="shared" si="2"/>
        <v>8.5214453482048841E-3</v>
      </c>
      <c r="S120" t="s">
        <v>18</v>
      </c>
      <c r="T120" s="5" t="s">
        <v>319</v>
      </c>
      <c r="U120" t="str">
        <f>IF(COUNTIF(A:A, A120)&gt;=3, "Yes", "No")</f>
        <v>No</v>
      </c>
    </row>
    <row r="121" spans="1:21" x14ac:dyDescent="0.3">
      <c r="A121" s="5">
        <v>69</v>
      </c>
      <c r="B121" s="5" t="s">
        <v>449</v>
      </c>
      <c r="C121" s="5" t="s">
        <v>444</v>
      </c>
      <c r="D121" s="5" t="s">
        <v>450</v>
      </c>
      <c r="E121" s="5">
        <v>56418</v>
      </c>
      <c r="F121" s="6">
        <f t="shared" si="3"/>
        <v>0.37302143527762716</v>
      </c>
      <c r="G121" s="5" t="s">
        <v>318</v>
      </c>
      <c r="H121" s="5">
        <v>215360</v>
      </c>
      <c r="I121" s="5">
        <v>151246</v>
      </c>
      <c r="J121" s="5">
        <v>19858</v>
      </c>
      <c r="K121" s="6">
        <f t="shared" si="0"/>
        <v>0.13129603427528663</v>
      </c>
      <c r="L121" s="6">
        <f t="shared" si="1"/>
        <v>0.70229383358098063</v>
      </c>
      <c r="M121" s="5" t="s">
        <v>451</v>
      </c>
      <c r="N121" s="5">
        <v>33555</v>
      </c>
      <c r="O121" s="6">
        <f t="shared" si="4"/>
        <v>0.22185710696481228</v>
      </c>
      <c r="P121" s="5" t="s">
        <v>338</v>
      </c>
      <c r="Q121" s="5">
        <v>26206</v>
      </c>
      <c r="R121" s="6">
        <f t="shared" si="2"/>
        <v>0.17326739219549608</v>
      </c>
      <c r="S121" t="s">
        <v>18</v>
      </c>
      <c r="T121" s="5" t="s">
        <v>319</v>
      </c>
      <c r="U121" t="str">
        <f>IF(COUNTIF(A:A, A121)&gt;=3, "Yes", "No")</f>
        <v>No</v>
      </c>
    </row>
    <row r="122" spans="1:21" x14ac:dyDescent="0.3">
      <c r="A122" s="5">
        <v>73</v>
      </c>
      <c r="B122" s="5" t="s">
        <v>458</v>
      </c>
      <c r="C122" s="5" t="s">
        <v>455</v>
      </c>
      <c r="D122" s="5" t="s">
        <v>459</v>
      </c>
      <c r="E122" s="5">
        <v>70373</v>
      </c>
      <c r="F122" s="6">
        <f t="shared" si="3"/>
        <v>0.36669028835832718</v>
      </c>
      <c r="G122" s="5" t="s">
        <v>316</v>
      </c>
      <c r="H122" s="5">
        <v>255431</v>
      </c>
      <c r="I122" s="5">
        <v>191914</v>
      </c>
      <c r="J122" s="5">
        <v>13610</v>
      </c>
      <c r="K122" s="6">
        <f t="shared" si="0"/>
        <v>7.0917181654282652E-2</v>
      </c>
      <c r="L122" s="6">
        <f t="shared" si="1"/>
        <v>0.75133401975484571</v>
      </c>
      <c r="M122" s="5" t="s">
        <v>460</v>
      </c>
      <c r="N122" s="5">
        <v>44878</v>
      </c>
      <c r="O122" s="6">
        <f t="shared" si="4"/>
        <v>0.23384432610440092</v>
      </c>
      <c r="P122" s="5" t="s">
        <v>341</v>
      </c>
      <c r="Q122" s="5">
        <v>37247</v>
      </c>
      <c r="R122" s="6">
        <f t="shared" si="2"/>
        <v>0.19408172410558897</v>
      </c>
      <c r="S122" t="s">
        <v>18</v>
      </c>
      <c r="T122" s="5" t="s">
        <v>319</v>
      </c>
      <c r="U122" t="str">
        <f>IF(COUNTIF(A:A, A122)&gt;=3, "Yes", "No")</f>
        <v>No</v>
      </c>
    </row>
    <row r="123" spans="1:21" x14ac:dyDescent="0.3">
      <c r="A123" s="5">
        <v>80</v>
      </c>
      <c r="B123" s="5" t="s">
        <v>466</v>
      </c>
      <c r="C123" s="5" t="s">
        <v>462</v>
      </c>
      <c r="D123" s="5" t="s">
        <v>467</v>
      </c>
      <c r="E123" s="5">
        <v>86991</v>
      </c>
      <c r="F123" s="6">
        <f t="shared" si="3"/>
        <v>0.43634038070875031</v>
      </c>
      <c r="G123" s="5" t="s">
        <v>318</v>
      </c>
      <c r="H123" s="5">
        <v>287414</v>
      </c>
      <c r="I123" s="5">
        <v>199365</v>
      </c>
      <c r="J123" s="5">
        <v>20721</v>
      </c>
      <c r="K123" s="6">
        <f t="shared" si="0"/>
        <v>0.10393499360469491</v>
      </c>
      <c r="L123" s="6">
        <f t="shared" si="1"/>
        <v>0.6936509703772259</v>
      </c>
      <c r="M123" s="5" t="s">
        <v>468</v>
      </c>
      <c r="N123" s="5">
        <v>30960</v>
      </c>
      <c r="O123" s="6">
        <f t="shared" si="4"/>
        <v>0.15529305545105709</v>
      </c>
      <c r="P123" s="5" t="s">
        <v>328</v>
      </c>
      <c r="Q123" s="5">
        <v>26763</v>
      </c>
      <c r="R123" s="6">
        <f t="shared" si="2"/>
        <v>0.13424121586035664</v>
      </c>
      <c r="S123" t="s">
        <v>18</v>
      </c>
      <c r="T123" s="5" t="s">
        <v>319</v>
      </c>
      <c r="U123" t="str">
        <f>IF(COUNTIF(A:A, A123)&gt;=3, "Yes", "No")</f>
        <v>No</v>
      </c>
    </row>
    <row r="124" spans="1:21" x14ac:dyDescent="0.3">
      <c r="A124" s="5">
        <v>84</v>
      </c>
      <c r="B124" s="5" t="s">
        <v>472</v>
      </c>
      <c r="C124" s="5" t="s">
        <v>473</v>
      </c>
      <c r="D124" s="5" t="s">
        <v>474</v>
      </c>
      <c r="E124" s="5">
        <v>78520</v>
      </c>
      <c r="F124" s="6">
        <f t="shared" si="3"/>
        <v>0.41912428006384012</v>
      </c>
      <c r="G124" s="5" t="s">
        <v>328</v>
      </c>
      <c r="H124" s="5">
        <v>266610</v>
      </c>
      <c r="I124" s="5">
        <v>187343</v>
      </c>
      <c r="J124" s="5">
        <v>13441</v>
      </c>
      <c r="K124" s="6">
        <f t="shared" si="0"/>
        <v>7.1745408155095197E-2</v>
      </c>
      <c r="L124" s="6">
        <f t="shared" si="1"/>
        <v>0.70268557068377036</v>
      </c>
      <c r="M124" s="5" t="s">
        <v>475</v>
      </c>
      <c r="N124" s="5">
        <v>22904</v>
      </c>
      <c r="O124" s="6">
        <f t="shared" si="4"/>
        <v>0.12225703655861174</v>
      </c>
      <c r="P124" s="5" t="s">
        <v>374</v>
      </c>
      <c r="Q124" s="5">
        <v>15235</v>
      </c>
      <c r="R124" s="6">
        <f t="shared" si="2"/>
        <v>8.1321426474434591E-2</v>
      </c>
      <c r="S124" t="s">
        <v>18</v>
      </c>
      <c r="T124" s="5" t="s">
        <v>319</v>
      </c>
      <c r="U124" t="str">
        <f>IF(COUNTIF(A:A, A124)&gt;=3, "Yes", "No")</f>
        <v>No</v>
      </c>
    </row>
    <row r="125" spans="1:21" x14ac:dyDescent="0.3">
      <c r="A125" s="5">
        <v>89</v>
      </c>
      <c r="B125" s="5" t="s">
        <v>81</v>
      </c>
      <c r="C125" s="5" t="s">
        <v>473</v>
      </c>
      <c r="D125" s="5" t="s">
        <v>481</v>
      </c>
      <c r="E125" s="5">
        <v>71020</v>
      </c>
      <c r="F125" s="6">
        <f t="shared" si="3"/>
        <v>0.35819118996943622</v>
      </c>
      <c r="G125" s="5" t="s">
        <v>316</v>
      </c>
      <c r="H125" s="5">
        <v>280093</v>
      </c>
      <c r="I125" s="5">
        <v>198274</v>
      </c>
      <c r="J125" s="5">
        <v>10425</v>
      </c>
      <c r="K125" s="6">
        <f t="shared" si="0"/>
        <v>5.2578754652652389E-2</v>
      </c>
      <c r="L125" s="6">
        <f t="shared" si="1"/>
        <v>0.70788630919016182</v>
      </c>
      <c r="M125" s="5" t="s">
        <v>482</v>
      </c>
      <c r="N125" s="5">
        <v>57247</v>
      </c>
      <c r="O125" s="6">
        <f t="shared" si="4"/>
        <v>0.28872671152042123</v>
      </c>
      <c r="P125" s="5" t="s">
        <v>341</v>
      </c>
      <c r="Q125" s="5">
        <v>54149</v>
      </c>
      <c r="R125" s="6">
        <f t="shared" si="2"/>
        <v>0.27310186913059703</v>
      </c>
      <c r="S125" t="s">
        <v>18</v>
      </c>
      <c r="T125" s="5" t="s">
        <v>319</v>
      </c>
      <c r="U125" t="str">
        <f>IF(COUNTIF(A:A, A125)&gt;=3, "Yes", "No")</f>
        <v>No</v>
      </c>
    </row>
    <row r="126" spans="1:21" x14ac:dyDescent="0.3">
      <c r="A126" s="5">
        <v>90</v>
      </c>
      <c r="B126" s="5" t="s">
        <v>483</v>
      </c>
      <c r="C126" s="5" t="s">
        <v>473</v>
      </c>
      <c r="D126" s="5" t="s">
        <v>484</v>
      </c>
      <c r="E126" s="5">
        <v>66852</v>
      </c>
      <c r="F126" s="6">
        <f t="shared" si="3"/>
        <v>0.39214214067421793</v>
      </c>
      <c r="G126" s="5" t="s">
        <v>328</v>
      </c>
      <c r="H126" s="5">
        <v>290397</v>
      </c>
      <c r="I126" s="5">
        <v>170479</v>
      </c>
      <c r="J126" s="5">
        <v>8648</v>
      </c>
      <c r="K126" s="6">
        <f t="shared" si="0"/>
        <v>5.072765560567577E-2</v>
      </c>
      <c r="L126" s="6">
        <f t="shared" si="1"/>
        <v>0.58705496268900847</v>
      </c>
      <c r="M126" s="5" t="s">
        <v>485</v>
      </c>
      <c r="N126" s="5">
        <v>20542</v>
      </c>
      <c r="O126" s="6">
        <f t="shared" si="4"/>
        <v>0.12049577953882883</v>
      </c>
      <c r="P126" s="5" t="s">
        <v>318</v>
      </c>
      <c r="Q126" s="5">
        <v>8416</v>
      </c>
      <c r="R126" s="6">
        <f t="shared" si="2"/>
        <v>4.9366784178696499E-2</v>
      </c>
      <c r="S126" t="s">
        <v>18</v>
      </c>
      <c r="T126" s="5" t="s">
        <v>319</v>
      </c>
      <c r="U126" t="str">
        <f>IF(COUNTIF(A:A, A126)&gt;=3, "Yes", "No")</f>
        <v>No</v>
      </c>
    </row>
    <row r="127" spans="1:21" x14ac:dyDescent="0.3">
      <c r="A127" s="5">
        <v>93</v>
      </c>
      <c r="B127" s="5" t="s">
        <v>486</v>
      </c>
      <c r="C127" s="5" t="s">
        <v>487</v>
      </c>
      <c r="D127" s="5" t="s">
        <v>488</v>
      </c>
      <c r="E127" s="5">
        <v>67104</v>
      </c>
      <c r="F127" s="6">
        <f t="shared" si="3"/>
        <v>0.34587907839802073</v>
      </c>
      <c r="G127" s="5" t="s">
        <v>316</v>
      </c>
      <c r="H127" s="5">
        <v>283223</v>
      </c>
      <c r="I127" s="5">
        <v>194010</v>
      </c>
      <c r="J127" s="5">
        <v>10536</v>
      </c>
      <c r="K127" s="6">
        <f t="shared" si="0"/>
        <v>5.4306479047471781E-2</v>
      </c>
      <c r="L127" s="6">
        <f t="shared" si="1"/>
        <v>0.6850079266161293</v>
      </c>
      <c r="M127" s="5" t="s">
        <v>489</v>
      </c>
      <c r="N127" s="5">
        <v>38085</v>
      </c>
      <c r="O127" s="6">
        <f t="shared" si="4"/>
        <v>0.19630431421060771</v>
      </c>
      <c r="P127" s="5" t="s">
        <v>341</v>
      </c>
      <c r="Q127" s="5">
        <v>20611</v>
      </c>
      <c r="R127" s="6">
        <f t="shared" si="2"/>
        <v>0.10623679191794237</v>
      </c>
      <c r="S127" t="s">
        <v>18</v>
      </c>
      <c r="T127" s="5" t="s">
        <v>319</v>
      </c>
      <c r="U127" t="str">
        <f>IF(COUNTIF(A:A, A127)&gt;=3, "Yes", "No")</f>
        <v>No</v>
      </c>
    </row>
    <row r="128" spans="1:21" x14ac:dyDescent="0.3">
      <c r="A128" s="5">
        <v>95</v>
      </c>
      <c r="B128" s="5" t="s">
        <v>492</v>
      </c>
      <c r="C128" s="5" t="s">
        <v>493</v>
      </c>
      <c r="D128" s="5" t="s">
        <v>494</v>
      </c>
      <c r="E128" s="5">
        <v>106912</v>
      </c>
      <c r="F128" s="6">
        <f t="shared" si="3"/>
        <v>0.44617496943063778</v>
      </c>
      <c r="G128" s="5" t="s">
        <v>341</v>
      </c>
      <c r="H128" s="5">
        <v>324115</v>
      </c>
      <c r="I128" s="5">
        <v>239619</v>
      </c>
      <c r="J128" s="5">
        <v>27358</v>
      </c>
      <c r="K128" s="6">
        <f t="shared" si="0"/>
        <v>0.11417291617108827</v>
      </c>
      <c r="L128" s="6">
        <f t="shared" si="1"/>
        <v>0.73930240809589187</v>
      </c>
      <c r="M128" s="5" t="s">
        <v>495</v>
      </c>
      <c r="N128" s="5">
        <v>30310</v>
      </c>
      <c r="O128" s="6">
        <f t="shared" si="4"/>
        <v>0.12649247346829759</v>
      </c>
      <c r="P128" s="5" t="s">
        <v>318</v>
      </c>
      <c r="Q128" s="5">
        <v>23348</v>
      </c>
      <c r="R128" s="6">
        <f t="shared" si="2"/>
        <v>9.7438016184025478E-2</v>
      </c>
      <c r="S128" t="s">
        <v>18</v>
      </c>
      <c r="T128" s="5" t="s">
        <v>319</v>
      </c>
      <c r="U128" t="str">
        <f>IF(COUNTIF(A:A, A128)&gt;=3, "Yes", "No")</f>
        <v>No</v>
      </c>
    </row>
    <row r="129" spans="1:21" x14ac:dyDescent="0.3">
      <c r="A129" s="5">
        <v>96</v>
      </c>
      <c r="B129" s="5" t="s">
        <v>85</v>
      </c>
      <c r="C129" s="5" t="s">
        <v>493</v>
      </c>
      <c r="D129" s="5" t="s">
        <v>496</v>
      </c>
      <c r="E129" s="5">
        <v>71584</v>
      </c>
      <c r="F129" s="6">
        <f t="shared" si="3"/>
        <v>0.3762291937119942</v>
      </c>
      <c r="G129" s="5" t="s">
        <v>328</v>
      </c>
      <c r="H129" s="5">
        <v>278377</v>
      </c>
      <c r="I129" s="5">
        <v>190267</v>
      </c>
      <c r="J129" s="5">
        <v>26526</v>
      </c>
      <c r="K129" s="6">
        <f t="shared" si="0"/>
        <v>0.13941461209773634</v>
      </c>
      <c r="L129" s="6">
        <f t="shared" si="1"/>
        <v>0.68348678231319393</v>
      </c>
      <c r="M129" s="5" t="s">
        <v>497</v>
      </c>
      <c r="N129" s="5">
        <v>42051</v>
      </c>
      <c r="O129" s="6">
        <f t="shared" si="4"/>
        <v>0.22101047475389846</v>
      </c>
      <c r="P129" s="5" t="s">
        <v>318</v>
      </c>
      <c r="Q129" s="5">
        <v>30676</v>
      </c>
      <c r="R129" s="6">
        <f t="shared" si="2"/>
        <v>0.16122606652756391</v>
      </c>
      <c r="S129" t="s">
        <v>18</v>
      </c>
      <c r="T129" s="5" t="s">
        <v>319</v>
      </c>
      <c r="U129" t="str">
        <f>IF(COUNTIF(A:A, A129)&gt;=3, "Yes", "No")</f>
        <v>No</v>
      </c>
    </row>
    <row r="130" spans="1:21" x14ac:dyDescent="0.3">
      <c r="A130" s="5">
        <v>98</v>
      </c>
      <c r="B130" s="5" t="s">
        <v>501</v>
      </c>
      <c r="C130" s="5" t="s">
        <v>493</v>
      </c>
      <c r="D130" s="5" t="s">
        <v>502</v>
      </c>
      <c r="E130" s="5">
        <v>69081</v>
      </c>
      <c r="F130" s="6">
        <f t="shared" si="3"/>
        <v>0.29526211185433721</v>
      </c>
      <c r="G130" s="5" t="s">
        <v>338</v>
      </c>
      <c r="H130" s="5">
        <v>333594</v>
      </c>
      <c r="I130" s="5">
        <v>233965</v>
      </c>
      <c r="J130" s="5">
        <v>13449</v>
      </c>
      <c r="K130" s="6">
        <f t="shared" si="0"/>
        <v>5.7482956852520674E-2</v>
      </c>
      <c r="L130" s="6">
        <f t="shared" si="1"/>
        <v>0.70134654700024579</v>
      </c>
      <c r="M130" s="5" t="s">
        <v>503</v>
      </c>
      <c r="N130" s="5">
        <v>46304</v>
      </c>
      <c r="O130" s="6">
        <f t="shared" si="4"/>
        <v>0.19790994379501206</v>
      </c>
      <c r="P130" s="5" t="s">
        <v>341</v>
      </c>
      <c r="Q130" s="5">
        <v>10896</v>
      </c>
      <c r="R130" s="6">
        <f t="shared" si="2"/>
        <v>4.6571068322184946E-2</v>
      </c>
      <c r="S130" t="s">
        <v>18</v>
      </c>
      <c r="T130" s="5" t="s">
        <v>319</v>
      </c>
      <c r="U130" t="str">
        <f>IF(COUNTIF(A:A, A130)&gt;=3, "Yes", "No")</f>
        <v>No</v>
      </c>
    </row>
    <row r="131" spans="1:21" x14ac:dyDescent="0.3">
      <c r="A131" s="5">
        <v>100</v>
      </c>
      <c r="B131" s="5" t="s">
        <v>506</v>
      </c>
      <c r="C131" s="5" t="s">
        <v>507</v>
      </c>
      <c r="D131" s="5" t="s">
        <v>508</v>
      </c>
      <c r="E131" s="5">
        <v>98030</v>
      </c>
      <c r="F131" s="6">
        <f t="shared" si="3"/>
        <v>0.45880877273450588</v>
      </c>
      <c r="G131" s="5" t="s">
        <v>341</v>
      </c>
      <c r="H131" s="5">
        <v>283562</v>
      </c>
      <c r="I131" s="5">
        <v>213662</v>
      </c>
      <c r="J131" s="5">
        <v>43476</v>
      </c>
      <c r="K131" s="6">
        <f t="shared" si="0"/>
        <v>0.20348026321947749</v>
      </c>
      <c r="L131" s="6">
        <f t="shared" si="1"/>
        <v>0.75349306324542775</v>
      </c>
      <c r="M131" s="5" t="s">
        <v>509</v>
      </c>
      <c r="N131" s="5">
        <v>45657</v>
      </c>
      <c r="O131" s="6">
        <f t="shared" si="4"/>
        <v>0.21368797446434087</v>
      </c>
      <c r="P131" s="5" t="s">
        <v>328</v>
      </c>
      <c r="Q131" s="5">
        <v>42074</v>
      </c>
      <c r="R131" s="6">
        <f t="shared" si="2"/>
        <v>0.19691849743988168</v>
      </c>
      <c r="S131" t="s">
        <v>18</v>
      </c>
      <c r="T131" s="5" t="s">
        <v>319</v>
      </c>
      <c r="U131" t="str">
        <f>IF(COUNTIF(A:A, A131)&gt;=3, "Yes", "No")</f>
        <v>No</v>
      </c>
    </row>
    <row r="132" spans="1:21" x14ac:dyDescent="0.3">
      <c r="A132" s="5">
        <v>102</v>
      </c>
      <c r="B132" s="5" t="s">
        <v>510</v>
      </c>
      <c r="C132" s="5" t="s">
        <v>507</v>
      </c>
      <c r="D132" s="5" t="s">
        <v>511</v>
      </c>
      <c r="E132" s="5">
        <v>73560</v>
      </c>
      <c r="F132" s="6">
        <f t="shared" si="3"/>
        <v>0.39210669395848657</v>
      </c>
      <c r="G132" s="5" t="s">
        <v>318</v>
      </c>
      <c r="H132" s="5">
        <v>276737</v>
      </c>
      <c r="I132" s="5">
        <v>187602</v>
      </c>
      <c r="J132" s="5">
        <v>23495</v>
      </c>
      <c r="K132" s="6">
        <f t="shared" si="0"/>
        <v>0.12523853690259165</v>
      </c>
      <c r="L132" s="6">
        <f t="shared" si="1"/>
        <v>0.6779071826318851</v>
      </c>
      <c r="M132" s="5" t="s">
        <v>512</v>
      </c>
      <c r="N132" s="5">
        <v>30945</v>
      </c>
      <c r="O132" s="6">
        <f t="shared" si="4"/>
        <v>0.16495026705472224</v>
      </c>
      <c r="P132" s="5" t="s">
        <v>328</v>
      </c>
      <c r="Q132" s="5">
        <v>17938</v>
      </c>
      <c r="R132" s="6">
        <f t="shared" si="2"/>
        <v>9.5617317512606478E-2</v>
      </c>
      <c r="S132" t="s">
        <v>18</v>
      </c>
      <c r="T132" s="5" t="s">
        <v>319</v>
      </c>
      <c r="U132" t="str">
        <f>IF(COUNTIF(A:A, A132)&gt;=3, "Yes", "No")</f>
        <v>No</v>
      </c>
    </row>
    <row r="133" spans="1:21" x14ac:dyDescent="0.3">
      <c r="A133" s="5">
        <v>104</v>
      </c>
      <c r="B133" s="5" t="s">
        <v>513</v>
      </c>
      <c r="C133" s="5" t="s">
        <v>514</v>
      </c>
      <c r="D133" s="5" t="s">
        <v>515</v>
      </c>
      <c r="E133" s="5">
        <v>96038</v>
      </c>
      <c r="F133" s="6">
        <f t="shared" si="3"/>
        <v>0.45758310661755947</v>
      </c>
      <c r="G133" s="5" t="s">
        <v>316</v>
      </c>
      <c r="H133" s="5">
        <v>278474</v>
      </c>
      <c r="I133" s="5">
        <v>209881</v>
      </c>
      <c r="J133" s="5">
        <v>13921</v>
      </c>
      <c r="K133" s="6">
        <f t="shared" si="0"/>
        <v>6.6328062092328513E-2</v>
      </c>
      <c r="L133" s="6">
        <f t="shared" si="1"/>
        <v>0.7536825700065356</v>
      </c>
      <c r="M133" s="5" t="s">
        <v>516</v>
      </c>
      <c r="N133" s="5">
        <v>15909</v>
      </c>
      <c r="O133" s="6">
        <f t="shared" si="4"/>
        <v>7.5800096245015033E-2</v>
      </c>
      <c r="P133" s="5" t="s">
        <v>328</v>
      </c>
      <c r="Q133" s="5">
        <v>12444</v>
      </c>
      <c r="R133" s="6">
        <f t="shared" si="2"/>
        <v>5.929074094367761E-2</v>
      </c>
      <c r="S133" t="s">
        <v>18</v>
      </c>
      <c r="T133" s="5" t="s">
        <v>319</v>
      </c>
      <c r="U133" t="str">
        <f>IF(COUNTIF(A:A, A133)&gt;=3, "Yes", "No")</f>
        <v>No</v>
      </c>
    </row>
    <row r="134" spans="1:21" x14ac:dyDescent="0.3">
      <c r="A134" s="5">
        <v>107</v>
      </c>
      <c r="B134" s="5" t="s">
        <v>98</v>
      </c>
      <c r="C134" s="5" t="s">
        <v>514</v>
      </c>
      <c r="D134" s="5" t="s">
        <v>520</v>
      </c>
      <c r="E134" s="5">
        <v>61843</v>
      </c>
      <c r="F134" s="6">
        <f t="shared" si="3"/>
        <v>0.32813353920273358</v>
      </c>
      <c r="G134" s="5" t="s">
        <v>378</v>
      </c>
      <c r="H134" s="5">
        <v>286978</v>
      </c>
      <c r="I134" s="5">
        <v>188469</v>
      </c>
      <c r="J134" s="5">
        <v>19982</v>
      </c>
      <c r="K134" s="6">
        <f t="shared" si="0"/>
        <v>0.10602274114045281</v>
      </c>
      <c r="L134" s="6">
        <f t="shared" si="1"/>
        <v>0.65673675333997727</v>
      </c>
      <c r="M134" s="5" t="s">
        <v>521</v>
      </c>
      <c r="N134" s="5">
        <v>40770</v>
      </c>
      <c r="O134" s="6">
        <f t="shared" si="4"/>
        <v>0.21632204765770499</v>
      </c>
      <c r="P134" s="5" t="s">
        <v>318</v>
      </c>
      <c r="Q134" s="5">
        <v>28928</v>
      </c>
      <c r="R134" s="6">
        <f t="shared" si="2"/>
        <v>0.15348943327549888</v>
      </c>
      <c r="S134" t="s">
        <v>18</v>
      </c>
      <c r="T134" s="5" t="s">
        <v>319</v>
      </c>
      <c r="U134" t="str">
        <f>IF(COUNTIF(A:A, A134)&gt;=3, "Yes", "No")</f>
        <v>Yes</v>
      </c>
    </row>
    <row r="135" spans="1:21" x14ac:dyDescent="0.3">
      <c r="A135" s="5">
        <v>110</v>
      </c>
      <c r="B135" s="5" t="s">
        <v>105</v>
      </c>
      <c r="C135" s="5" t="s">
        <v>514</v>
      </c>
      <c r="D135" s="5" t="s">
        <v>524</v>
      </c>
      <c r="E135" s="5">
        <v>66991</v>
      </c>
      <c r="F135" s="6">
        <f t="shared" si="3"/>
        <v>0.3452396903763103</v>
      </c>
      <c r="G135" s="5" t="s">
        <v>328</v>
      </c>
      <c r="H135" s="5">
        <v>262167</v>
      </c>
      <c r="I135" s="5">
        <v>194042</v>
      </c>
      <c r="J135" s="5">
        <v>25039</v>
      </c>
      <c r="K135" s="6">
        <f t="shared" si="0"/>
        <v>0.129039074014904</v>
      </c>
      <c r="L135" s="6">
        <f t="shared" si="1"/>
        <v>0.74014654781112799</v>
      </c>
      <c r="M135" s="5" t="s">
        <v>525</v>
      </c>
      <c r="N135" s="5">
        <v>29957</v>
      </c>
      <c r="O135" s="6">
        <f t="shared" si="4"/>
        <v>0.15438410241081826</v>
      </c>
      <c r="P135" s="5" t="s">
        <v>318</v>
      </c>
      <c r="Q135" s="5">
        <v>5000</v>
      </c>
      <c r="R135" s="6">
        <f t="shared" si="2"/>
        <v>2.5767617319961657E-2</v>
      </c>
      <c r="S135" t="s">
        <v>18</v>
      </c>
      <c r="T135" s="5" t="s">
        <v>319</v>
      </c>
      <c r="U135" t="str">
        <f>IF(COUNTIF(A:A, A135)&gt;=3, "Yes", "No")</f>
        <v>Yes</v>
      </c>
    </row>
    <row r="136" spans="1:21" x14ac:dyDescent="0.3">
      <c r="A136" s="5">
        <v>111</v>
      </c>
      <c r="B136" s="5" t="s">
        <v>108</v>
      </c>
      <c r="C136" s="5" t="s">
        <v>514</v>
      </c>
      <c r="D136" s="5" t="s">
        <v>528</v>
      </c>
      <c r="E136" s="5">
        <v>55483</v>
      </c>
      <c r="F136" s="6">
        <f t="shared" si="3"/>
        <v>0.30133496991158132</v>
      </c>
      <c r="G136" s="5" t="s">
        <v>318</v>
      </c>
      <c r="H136" s="5">
        <v>271496</v>
      </c>
      <c r="I136" s="5">
        <v>184124</v>
      </c>
      <c r="J136" s="5">
        <v>17278</v>
      </c>
      <c r="K136" s="6">
        <f t="shared" si="0"/>
        <v>9.3838934631009535E-2</v>
      </c>
      <c r="L136" s="6">
        <f t="shared" si="1"/>
        <v>0.67818310398679904</v>
      </c>
      <c r="M136" s="5" t="s">
        <v>529</v>
      </c>
      <c r="N136" s="5">
        <v>33216</v>
      </c>
      <c r="O136" s="6">
        <f t="shared" si="4"/>
        <v>0.18040016510612414</v>
      </c>
      <c r="P136" s="5" t="s">
        <v>341</v>
      </c>
      <c r="Q136" s="5">
        <v>16390</v>
      </c>
      <c r="R136" s="6">
        <f t="shared" si="2"/>
        <v>8.9016097847103043E-2</v>
      </c>
      <c r="S136" t="s">
        <v>18</v>
      </c>
      <c r="T136" s="5" t="s">
        <v>319</v>
      </c>
      <c r="U136" t="str">
        <f>IF(COUNTIF(A:A, A136)&gt;=3, "Yes", "No")</f>
        <v>No</v>
      </c>
    </row>
    <row r="137" spans="1:21" x14ac:dyDescent="0.3">
      <c r="A137" s="5">
        <v>113</v>
      </c>
      <c r="B137" s="5" t="s">
        <v>530</v>
      </c>
      <c r="C137" s="5" t="s">
        <v>531</v>
      </c>
      <c r="D137" s="5" t="s">
        <v>532</v>
      </c>
      <c r="E137" s="5">
        <v>69263</v>
      </c>
      <c r="F137" s="6">
        <f t="shared" si="3"/>
        <v>0.34446864804647093</v>
      </c>
      <c r="G137" s="5" t="s">
        <v>341</v>
      </c>
      <c r="H137" s="5">
        <v>296834</v>
      </c>
      <c r="I137" s="5">
        <v>201072</v>
      </c>
      <c r="J137" s="5">
        <v>18436</v>
      </c>
      <c r="K137" s="6">
        <f t="shared" si="0"/>
        <v>9.1688549375348136E-2</v>
      </c>
      <c r="L137" s="6">
        <f t="shared" si="1"/>
        <v>0.67738870884063151</v>
      </c>
      <c r="M137" s="5" t="s">
        <v>533</v>
      </c>
      <c r="N137" s="5">
        <v>50351</v>
      </c>
      <c r="O137" s="6">
        <f t="shared" si="4"/>
        <v>0.25041278745921858</v>
      </c>
      <c r="P137" s="5" t="s">
        <v>318</v>
      </c>
      <c r="Q137" s="5">
        <v>33887</v>
      </c>
      <c r="R137" s="6">
        <f t="shared" si="2"/>
        <v>0.16853167024747354</v>
      </c>
      <c r="S137" t="s">
        <v>18</v>
      </c>
      <c r="T137" s="5" t="s">
        <v>319</v>
      </c>
      <c r="U137" t="str">
        <f>IF(COUNTIF(A:A, A137)&gt;=3, "Yes", "No")</f>
        <v>No</v>
      </c>
    </row>
    <row r="138" spans="1:21" x14ac:dyDescent="0.3">
      <c r="A138" s="5">
        <v>114</v>
      </c>
      <c r="B138" s="5" t="s">
        <v>111</v>
      </c>
      <c r="C138" s="5" t="s">
        <v>531</v>
      </c>
      <c r="D138" s="5" t="s">
        <v>534</v>
      </c>
      <c r="E138" s="5">
        <v>75326</v>
      </c>
      <c r="F138" s="6">
        <f t="shared" si="3"/>
        <v>0.44995191417426783</v>
      </c>
      <c r="G138" s="5" t="s">
        <v>316</v>
      </c>
      <c r="H138" s="5">
        <v>246308</v>
      </c>
      <c r="I138" s="5">
        <v>167409</v>
      </c>
      <c r="J138" s="5">
        <v>16151</v>
      </c>
      <c r="K138" s="6">
        <f t="shared" si="0"/>
        <v>9.6476294583923206E-2</v>
      </c>
      <c r="L138" s="6">
        <f t="shared" si="1"/>
        <v>0.67967341702258965</v>
      </c>
      <c r="M138" s="5" t="s">
        <v>535</v>
      </c>
      <c r="N138" s="5">
        <v>21050</v>
      </c>
      <c r="O138" s="6">
        <f t="shared" si="4"/>
        <v>0.12573995424379814</v>
      </c>
      <c r="P138" s="5" t="s">
        <v>378</v>
      </c>
      <c r="Q138" s="5">
        <v>14329</v>
      </c>
      <c r="R138" s="6">
        <f t="shared" si="2"/>
        <v>8.5592769803296123E-2</v>
      </c>
      <c r="S138" t="s">
        <v>18</v>
      </c>
      <c r="T138" s="5" t="s">
        <v>319</v>
      </c>
      <c r="U138" t="str">
        <f>IF(COUNTIF(A:A, A138)&gt;=3, "Yes", "No")</f>
        <v>No</v>
      </c>
    </row>
    <row r="139" spans="1:21" x14ac:dyDescent="0.3">
      <c r="A139" s="5">
        <v>118</v>
      </c>
      <c r="B139" s="5" t="s">
        <v>115</v>
      </c>
      <c r="C139" s="5" t="s">
        <v>531</v>
      </c>
      <c r="D139" s="5" t="s">
        <v>536</v>
      </c>
      <c r="E139" s="5">
        <v>54946</v>
      </c>
      <c r="F139" s="6">
        <f t="shared" si="3"/>
        <v>0.2988989707770307</v>
      </c>
      <c r="G139" s="5" t="s">
        <v>318</v>
      </c>
      <c r="H139" s="5">
        <v>255252</v>
      </c>
      <c r="I139" s="5">
        <v>183828</v>
      </c>
      <c r="J139" s="5">
        <v>11161</v>
      </c>
      <c r="K139" s="6">
        <f t="shared" si="0"/>
        <v>6.0714363426681461E-2</v>
      </c>
      <c r="L139" s="6">
        <f t="shared" si="1"/>
        <v>0.72018240797329702</v>
      </c>
      <c r="M139" s="5" t="s">
        <v>537</v>
      </c>
      <c r="N139" s="5">
        <v>29409</v>
      </c>
      <c r="O139" s="6">
        <f t="shared" si="4"/>
        <v>0.1599810692603956</v>
      </c>
      <c r="P139" s="5" t="s">
        <v>338</v>
      </c>
      <c r="Q139" s="5">
        <v>2114</v>
      </c>
      <c r="R139" s="6">
        <f t="shared" si="2"/>
        <v>1.1499880322910546E-2</v>
      </c>
      <c r="S139" t="s">
        <v>18</v>
      </c>
      <c r="T139" s="5" t="s">
        <v>319</v>
      </c>
      <c r="U139" t="str">
        <f>IF(COUNTIF(A:A, A139)&gt;=3, "Yes", "No")</f>
        <v>No</v>
      </c>
    </row>
    <row r="140" spans="1:21" x14ac:dyDescent="0.3">
      <c r="A140" s="5">
        <v>122</v>
      </c>
      <c r="B140" s="5" t="s">
        <v>542</v>
      </c>
      <c r="C140" s="5" t="s">
        <v>531</v>
      </c>
      <c r="D140" s="5" t="s">
        <v>543</v>
      </c>
      <c r="E140" s="5">
        <v>68284</v>
      </c>
      <c r="F140" s="6">
        <f t="shared" si="3"/>
        <v>0.33833103762647032</v>
      </c>
      <c r="G140" s="5" t="s">
        <v>341</v>
      </c>
      <c r="H140" s="5">
        <v>269205</v>
      </c>
      <c r="I140" s="5">
        <v>201826</v>
      </c>
      <c r="J140" s="5">
        <v>12633</v>
      </c>
      <c r="K140" s="6">
        <f t="shared" si="0"/>
        <v>6.2593521151883311E-2</v>
      </c>
      <c r="L140" s="6">
        <f t="shared" si="1"/>
        <v>0.74971118664215008</v>
      </c>
      <c r="M140" s="5" t="s">
        <v>544</v>
      </c>
      <c r="N140" s="5">
        <v>43415</v>
      </c>
      <c r="O140" s="6">
        <f t="shared" si="4"/>
        <v>0.21511103623913669</v>
      </c>
      <c r="P140" s="5" t="s">
        <v>316</v>
      </c>
      <c r="Q140" s="5">
        <v>29491</v>
      </c>
      <c r="R140" s="6">
        <f t="shared" si="2"/>
        <v>0.14612091603658597</v>
      </c>
      <c r="S140" t="s">
        <v>18</v>
      </c>
      <c r="T140" s="5" t="s">
        <v>319</v>
      </c>
      <c r="U140" t="str">
        <f>IF(COUNTIF(A:A, A140)&gt;=3, "Yes", "No")</f>
        <v>No</v>
      </c>
    </row>
    <row r="141" spans="1:21" x14ac:dyDescent="0.3">
      <c r="A141" s="5">
        <v>125</v>
      </c>
      <c r="B141" s="5" t="s">
        <v>545</v>
      </c>
      <c r="C141" s="5" t="s">
        <v>531</v>
      </c>
      <c r="D141" s="5" t="s">
        <v>546</v>
      </c>
      <c r="E141" s="5">
        <v>67489</v>
      </c>
      <c r="F141" s="6">
        <f t="shared" si="3"/>
        <v>0.34116368415731474</v>
      </c>
      <c r="G141" s="5" t="s">
        <v>318</v>
      </c>
      <c r="H141" s="5">
        <v>335649</v>
      </c>
      <c r="I141" s="5">
        <v>197820</v>
      </c>
      <c r="J141" s="5">
        <v>29670</v>
      </c>
      <c r="K141" s="6">
        <f t="shared" si="0"/>
        <v>0.1499848346982105</v>
      </c>
      <c r="L141" s="6">
        <f t="shared" si="1"/>
        <v>0.58936567664435169</v>
      </c>
      <c r="M141" s="5" t="s">
        <v>547</v>
      </c>
      <c r="N141" s="5">
        <v>30236</v>
      </c>
      <c r="O141" s="6">
        <f t="shared" si="4"/>
        <v>0.15284602163583055</v>
      </c>
      <c r="P141" s="5" t="s">
        <v>341</v>
      </c>
      <c r="Q141" s="5">
        <v>8255</v>
      </c>
      <c r="R141" s="6">
        <f t="shared" si="2"/>
        <v>4.1729855424122941E-2</v>
      </c>
      <c r="S141" t="s">
        <v>18</v>
      </c>
      <c r="T141" s="5" t="s">
        <v>319</v>
      </c>
      <c r="U141" t="str">
        <f>IF(COUNTIF(A:A, A141)&gt;=3, "Yes", "No")</f>
        <v>No</v>
      </c>
    </row>
    <row r="142" spans="1:21" x14ac:dyDescent="0.3">
      <c r="A142" s="5">
        <v>127</v>
      </c>
      <c r="B142" s="5" t="s">
        <v>548</v>
      </c>
      <c r="C142" s="5" t="s">
        <v>531</v>
      </c>
      <c r="D142" s="5" t="s">
        <v>549</v>
      </c>
      <c r="E142" s="5">
        <v>49128</v>
      </c>
      <c r="F142" s="6">
        <f t="shared" si="3"/>
        <v>0.31454199719570519</v>
      </c>
      <c r="G142" s="5" t="s">
        <v>316</v>
      </c>
      <c r="H142" s="5">
        <v>235601</v>
      </c>
      <c r="I142" s="5">
        <v>156189</v>
      </c>
      <c r="J142" s="5">
        <v>10377</v>
      </c>
      <c r="K142" s="6">
        <f t="shared" si="0"/>
        <v>6.6438737683191515E-2</v>
      </c>
      <c r="L142" s="6">
        <f t="shared" si="1"/>
        <v>0.66293861231488826</v>
      </c>
      <c r="M142" s="5" t="s">
        <v>550</v>
      </c>
      <c r="N142" s="5">
        <v>21747</v>
      </c>
      <c r="O142" s="6">
        <f t="shared" si="4"/>
        <v>0.13923515740545109</v>
      </c>
      <c r="P142" s="5" t="s">
        <v>341</v>
      </c>
      <c r="Q142" s="5">
        <v>4580</v>
      </c>
      <c r="R142" s="6">
        <f t="shared" si="2"/>
        <v>2.9323447874050029E-2</v>
      </c>
      <c r="S142" t="s">
        <v>18</v>
      </c>
      <c r="T142" s="5" t="s">
        <v>319</v>
      </c>
      <c r="U142" t="str">
        <f>IF(COUNTIF(A:A, A142)&gt;=3, "Yes", "No")</f>
        <v>No</v>
      </c>
    </row>
    <row r="143" spans="1:21" x14ac:dyDescent="0.3">
      <c r="A143" s="5">
        <v>128</v>
      </c>
      <c r="B143" s="5" t="s">
        <v>551</v>
      </c>
      <c r="C143" s="5" t="s">
        <v>552</v>
      </c>
      <c r="D143" s="5" t="s">
        <v>553</v>
      </c>
      <c r="E143" s="5">
        <v>44849</v>
      </c>
      <c r="F143" s="6">
        <f t="shared" si="3"/>
        <v>0.28963054330347626</v>
      </c>
      <c r="G143" s="5" t="s">
        <v>318</v>
      </c>
      <c r="H143" s="5">
        <v>234175</v>
      </c>
      <c r="I143" s="5">
        <v>154849</v>
      </c>
      <c r="J143" s="5">
        <v>16700</v>
      </c>
      <c r="K143" s="6">
        <f t="shared" si="0"/>
        <v>0.10784699933483587</v>
      </c>
      <c r="L143" s="6">
        <f t="shared" si="1"/>
        <v>0.6612533361802071</v>
      </c>
      <c r="M143" s="5" t="s">
        <v>554</v>
      </c>
      <c r="N143" s="5">
        <v>27963</v>
      </c>
      <c r="O143" s="6">
        <f t="shared" si="4"/>
        <v>0.18058237379640812</v>
      </c>
      <c r="P143" s="5" t="s">
        <v>341</v>
      </c>
      <c r="Q143" s="5">
        <v>13797</v>
      </c>
      <c r="R143" s="6">
        <f t="shared" si="2"/>
        <v>8.909970358219943E-2</v>
      </c>
      <c r="S143" t="s">
        <v>18</v>
      </c>
      <c r="T143" s="5" t="s">
        <v>319</v>
      </c>
      <c r="U143" t="str">
        <f>IF(COUNTIF(A:A, A143)&gt;=3, "Yes", "No")</f>
        <v>No</v>
      </c>
    </row>
    <row r="144" spans="1:21" x14ac:dyDescent="0.3">
      <c r="A144" s="5">
        <v>131</v>
      </c>
      <c r="B144" s="5" t="s">
        <v>555</v>
      </c>
      <c r="C144" s="5" t="s">
        <v>552</v>
      </c>
      <c r="D144" s="5" t="s">
        <v>556</v>
      </c>
      <c r="E144" s="5">
        <v>64550</v>
      </c>
      <c r="F144" s="6">
        <f t="shared" si="3"/>
        <v>0.37688808963572351</v>
      </c>
      <c r="G144" s="5" t="s">
        <v>541</v>
      </c>
      <c r="H144" s="5">
        <v>252411</v>
      </c>
      <c r="I144" s="5">
        <v>171271</v>
      </c>
      <c r="J144" s="5">
        <v>12873</v>
      </c>
      <c r="K144" s="6">
        <f t="shared" si="0"/>
        <v>7.5161586024487512E-2</v>
      </c>
      <c r="L144" s="6">
        <f t="shared" si="1"/>
        <v>0.67854015870940654</v>
      </c>
      <c r="M144" s="5" t="s">
        <v>557</v>
      </c>
      <c r="N144" s="5">
        <v>30228</v>
      </c>
      <c r="O144" s="6">
        <f t="shared" si="4"/>
        <v>0.17649222577085438</v>
      </c>
      <c r="P144" s="5" t="s">
        <v>318</v>
      </c>
      <c r="Q144" s="5">
        <v>24526</v>
      </c>
      <c r="R144" s="6">
        <f t="shared" si="2"/>
        <v>0.14319995796135948</v>
      </c>
      <c r="S144" t="s">
        <v>18</v>
      </c>
      <c r="T144" s="5" t="s">
        <v>319</v>
      </c>
      <c r="U144" t="str">
        <f>IF(COUNTIF(A:A, A144)&gt;=3, "Yes", "No")</f>
        <v>No</v>
      </c>
    </row>
    <row r="145" spans="1:21" x14ac:dyDescent="0.3">
      <c r="A145" s="5">
        <v>134</v>
      </c>
      <c r="B145" s="5" t="s">
        <v>558</v>
      </c>
      <c r="C145" s="5" t="s">
        <v>552</v>
      </c>
      <c r="D145" s="5" t="s">
        <v>559</v>
      </c>
      <c r="E145" s="5">
        <v>57082</v>
      </c>
      <c r="F145" s="6">
        <f t="shared" si="3"/>
        <v>0.32843876224122259</v>
      </c>
      <c r="G145" s="5" t="s">
        <v>328</v>
      </c>
      <c r="H145" s="5">
        <v>262433</v>
      </c>
      <c r="I145" s="5">
        <v>173798</v>
      </c>
      <c r="J145" s="5">
        <v>9160</v>
      </c>
      <c r="K145" s="6">
        <f t="shared" si="0"/>
        <v>5.2704864267713092E-2</v>
      </c>
      <c r="L145" s="6">
        <f t="shared" si="1"/>
        <v>0.6622566521740787</v>
      </c>
      <c r="M145" s="5" t="s">
        <v>560</v>
      </c>
      <c r="N145" s="5">
        <v>25580</v>
      </c>
      <c r="O145" s="6">
        <f t="shared" si="4"/>
        <v>0.14718236113188873</v>
      </c>
      <c r="P145" s="5" t="s">
        <v>465</v>
      </c>
      <c r="Q145" s="5">
        <v>2167</v>
      </c>
      <c r="R145" s="6">
        <f t="shared" si="2"/>
        <v>1.246849791136837E-2</v>
      </c>
      <c r="S145" t="s">
        <v>18</v>
      </c>
      <c r="T145" s="5" t="s">
        <v>319</v>
      </c>
      <c r="U145" t="str">
        <f>IF(COUNTIF(A:A, A145)&gt;=3, "Yes", "No")</f>
        <v>No</v>
      </c>
    </row>
    <row r="146" spans="1:21" x14ac:dyDescent="0.3">
      <c r="A146" s="5">
        <v>139</v>
      </c>
      <c r="B146" s="5" t="s">
        <v>567</v>
      </c>
      <c r="C146" s="5" t="s">
        <v>552</v>
      </c>
      <c r="D146" s="5" t="s">
        <v>568</v>
      </c>
      <c r="E146" s="5">
        <v>85543</v>
      </c>
      <c r="F146" s="6">
        <f t="shared" si="3"/>
        <v>0.37953493737493843</v>
      </c>
      <c r="G146" s="5" t="s">
        <v>318</v>
      </c>
      <c r="H146" s="5">
        <v>356038</v>
      </c>
      <c r="I146" s="5">
        <v>225389</v>
      </c>
      <c r="J146" s="5">
        <v>26230</v>
      </c>
      <c r="K146" s="6">
        <f t="shared" si="0"/>
        <v>0.11637657560927996</v>
      </c>
      <c r="L146" s="6">
        <f t="shared" si="1"/>
        <v>0.633047596043119</v>
      </c>
      <c r="M146" s="5" t="s">
        <v>569</v>
      </c>
      <c r="N146" s="5">
        <v>53496</v>
      </c>
      <c r="O146" s="6">
        <f t="shared" si="4"/>
        <v>0.23734964882935725</v>
      </c>
      <c r="P146" s="5" t="s">
        <v>328</v>
      </c>
      <c r="Q146" s="5">
        <v>43791</v>
      </c>
      <c r="R146" s="6">
        <f t="shared" si="2"/>
        <v>0.19429075953129923</v>
      </c>
      <c r="S146" t="s">
        <v>18</v>
      </c>
      <c r="T146" s="5" t="s">
        <v>319</v>
      </c>
      <c r="U146" t="str">
        <f>IF(COUNTIF(A:A, A146)&gt;=3, "Yes", "No")</f>
        <v>No</v>
      </c>
    </row>
    <row r="147" spans="1:21" x14ac:dyDescent="0.3">
      <c r="A147" s="5">
        <v>146</v>
      </c>
      <c r="B147" s="5" t="s">
        <v>575</v>
      </c>
      <c r="C147" s="5" t="s">
        <v>552</v>
      </c>
      <c r="D147" s="5" t="s">
        <v>576</v>
      </c>
      <c r="E147" s="5">
        <v>68571</v>
      </c>
      <c r="F147" s="6">
        <f t="shared" si="3"/>
        <v>0.36751724470599584</v>
      </c>
      <c r="G147" s="5" t="s">
        <v>328</v>
      </c>
      <c r="H147" s="5">
        <v>370547</v>
      </c>
      <c r="I147" s="5">
        <v>186579</v>
      </c>
      <c r="J147" s="5">
        <v>10906</v>
      </c>
      <c r="K147" s="6">
        <f t="shared" si="0"/>
        <v>5.8452451776459302E-2</v>
      </c>
      <c r="L147" s="6">
        <f t="shared" si="1"/>
        <v>0.50352316980032219</v>
      </c>
      <c r="M147" s="5" t="s">
        <v>577</v>
      </c>
      <c r="N147" s="5">
        <v>20686</v>
      </c>
      <c r="O147" s="6">
        <f t="shared" si="4"/>
        <v>0.11086992641186844</v>
      </c>
      <c r="P147" s="5" t="s">
        <v>341</v>
      </c>
      <c r="Q147" s="5">
        <v>118</v>
      </c>
      <c r="R147" s="6">
        <f t="shared" si="2"/>
        <v>6.3243987801413876E-4</v>
      </c>
      <c r="S147" t="s">
        <v>18</v>
      </c>
      <c r="T147" s="5" t="s">
        <v>319</v>
      </c>
      <c r="U147" t="str">
        <f>IF(COUNTIF(A:A, A147)&gt;=3, "Yes", "No")</f>
        <v>No</v>
      </c>
    </row>
    <row r="148" spans="1:21" x14ac:dyDescent="0.3">
      <c r="A148" s="5">
        <v>148</v>
      </c>
      <c r="B148" s="5" t="s">
        <v>125</v>
      </c>
      <c r="C148" s="5" t="s">
        <v>552</v>
      </c>
      <c r="D148" s="5" t="s">
        <v>578</v>
      </c>
      <c r="E148" s="5">
        <v>70884</v>
      </c>
      <c r="F148" s="6">
        <f t="shared" si="3"/>
        <v>0.38864185888403358</v>
      </c>
      <c r="G148" s="5" t="s">
        <v>318</v>
      </c>
      <c r="H148" s="5">
        <v>322390</v>
      </c>
      <c r="I148" s="5">
        <v>182389</v>
      </c>
      <c r="J148" s="5">
        <v>12588</v>
      </c>
      <c r="K148" s="6">
        <f t="shared" si="0"/>
        <v>6.9017320123472364E-2</v>
      </c>
      <c r="L148" s="6">
        <f t="shared" si="1"/>
        <v>0.56574025248922111</v>
      </c>
      <c r="M148" s="5" t="s">
        <v>579</v>
      </c>
      <c r="N148" s="5">
        <v>24320</v>
      </c>
      <c r="O148" s="6">
        <f t="shared" si="4"/>
        <v>0.13334137475395993</v>
      </c>
      <c r="P148" s="5" t="s">
        <v>341</v>
      </c>
      <c r="Q148" s="5">
        <v>8437</v>
      </c>
      <c r="R148" s="6">
        <f t="shared" si="2"/>
        <v>4.6258272154570727E-2</v>
      </c>
      <c r="S148" t="s">
        <v>18</v>
      </c>
      <c r="T148" s="5" t="s">
        <v>319</v>
      </c>
      <c r="U148" t="str">
        <f>IF(COUNTIF(A:A, A148)&gt;=3, "Yes", "No")</f>
        <v>No</v>
      </c>
    </row>
    <row r="149" spans="1:21" x14ac:dyDescent="0.3">
      <c r="A149" s="5">
        <v>154</v>
      </c>
      <c r="B149" s="5" t="s">
        <v>162</v>
      </c>
      <c r="C149" s="5" t="s">
        <v>580</v>
      </c>
      <c r="D149" s="5" t="s">
        <v>581</v>
      </c>
      <c r="E149" s="5">
        <v>65016</v>
      </c>
      <c r="F149" s="6">
        <f t="shared" si="3"/>
        <v>0.40085824208345666</v>
      </c>
      <c r="G149" s="5" t="s">
        <v>328</v>
      </c>
      <c r="H149" s="5">
        <v>307735</v>
      </c>
      <c r="I149" s="5">
        <v>162192</v>
      </c>
      <c r="J149" s="5">
        <v>20385</v>
      </c>
      <c r="K149" s="6">
        <f t="shared" si="0"/>
        <v>0.12568437407517016</v>
      </c>
      <c r="L149" s="6">
        <f t="shared" si="1"/>
        <v>0.52705087169155285</v>
      </c>
      <c r="M149" s="5" t="s">
        <v>582</v>
      </c>
      <c r="N149" s="5">
        <v>32057</v>
      </c>
      <c r="O149" s="6">
        <f t="shared" si="4"/>
        <v>0.19764846601558647</v>
      </c>
      <c r="P149" s="5" t="s">
        <v>465</v>
      </c>
      <c r="Q149" s="5">
        <v>19855</v>
      </c>
      <c r="R149" s="6">
        <f t="shared" si="2"/>
        <v>0.12241664200453783</v>
      </c>
      <c r="S149" t="s">
        <v>18</v>
      </c>
      <c r="T149" s="5" t="s">
        <v>319</v>
      </c>
      <c r="U149" t="str">
        <f>IF(COUNTIF(A:A, A149)&gt;=3, "Yes", "No")</f>
        <v>No</v>
      </c>
    </row>
    <row r="150" spans="1:21" x14ac:dyDescent="0.3">
      <c r="A150" s="5">
        <v>159</v>
      </c>
      <c r="B150" s="5" t="s">
        <v>585</v>
      </c>
      <c r="C150" s="5" t="s">
        <v>580</v>
      </c>
      <c r="D150" s="5" t="s">
        <v>586</v>
      </c>
      <c r="E150" s="5">
        <v>56577</v>
      </c>
      <c r="F150" s="6">
        <f t="shared" si="3"/>
        <v>0.35467470755651398</v>
      </c>
      <c r="G150" s="5" t="s">
        <v>328</v>
      </c>
      <c r="H150" s="5">
        <v>297492</v>
      </c>
      <c r="I150" s="5">
        <v>159518</v>
      </c>
      <c r="J150" s="5">
        <v>19828</v>
      </c>
      <c r="K150" s="6">
        <f t="shared" si="0"/>
        <v>0.12429945209944959</v>
      </c>
      <c r="L150" s="6">
        <f t="shared" si="1"/>
        <v>0.53620937705887894</v>
      </c>
      <c r="M150" s="5" t="s">
        <v>587</v>
      </c>
      <c r="N150" s="5">
        <v>36169</v>
      </c>
      <c r="O150" s="6">
        <f t="shared" si="4"/>
        <v>0.22673930214772001</v>
      </c>
      <c r="P150" s="5" t="s">
        <v>318</v>
      </c>
      <c r="Q150" s="5">
        <v>21507</v>
      </c>
      <c r="R150" s="6">
        <f t="shared" si="2"/>
        <v>0.13482491004150002</v>
      </c>
      <c r="S150" t="s">
        <v>18</v>
      </c>
      <c r="T150" s="5" t="s">
        <v>319</v>
      </c>
      <c r="U150" t="str">
        <f>IF(COUNTIF(A:A, A150)&gt;=3, "Yes", "No")</f>
        <v>No</v>
      </c>
    </row>
    <row r="151" spans="1:21" x14ac:dyDescent="0.3">
      <c r="A151" s="5">
        <v>165</v>
      </c>
      <c r="B151" s="5" t="s">
        <v>588</v>
      </c>
      <c r="C151" s="5" t="s">
        <v>580</v>
      </c>
      <c r="D151" s="5" t="s">
        <v>589</v>
      </c>
      <c r="E151" s="5">
        <v>59022</v>
      </c>
      <c r="F151" s="6">
        <f t="shared" si="3"/>
        <v>0.41074212225810042</v>
      </c>
      <c r="G151" s="5" t="s">
        <v>318</v>
      </c>
      <c r="H151" s="5">
        <v>309772</v>
      </c>
      <c r="I151" s="5">
        <v>143696</v>
      </c>
      <c r="J151" s="5">
        <v>24040</v>
      </c>
      <c r="K151" s="6">
        <f t="shared" si="0"/>
        <v>0.167297628326467</v>
      </c>
      <c r="L151" s="6">
        <f t="shared" si="1"/>
        <v>0.46387665767080305</v>
      </c>
      <c r="M151" s="5" t="s">
        <v>590</v>
      </c>
      <c r="N151" s="5">
        <v>26721</v>
      </c>
      <c r="O151" s="6">
        <f t="shared" si="4"/>
        <v>0.18595507181828305</v>
      </c>
      <c r="P151" s="5" t="s">
        <v>328</v>
      </c>
      <c r="Q151" s="5">
        <v>13751</v>
      </c>
      <c r="R151" s="6">
        <f t="shared" si="2"/>
        <v>9.5695078499053551E-2</v>
      </c>
      <c r="S151" t="s">
        <v>18</v>
      </c>
      <c r="T151" s="5" t="s">
        <v>319</v>
      </c>
      <c r="U151" t="str">
        <f>IF(COUNTIF(A:A, A151)&gt;=3, "Yes", "No")</f>
        <v>No</v>
      </c>
    </row>
    <row r="152" spans="1:21" x14ac:dyDescent="0.3">
      <c r="A152" s="5">
        <v>171</v>
      </c>
      <c r="B152" s="5" t="s">
        <v>192</v>
      </c>
      <c r="C152" s="5" t="s">
        <v>580</v>
      </c>
      <c r="D152" s="5" t="s">
        <v>594</v>
      </c>
      <c r="E152" s="5">
        <v>41719</v>
      </c>
      <c r="F152" s="6">
        <f t="shared" si="3"/>
        <v>0.32623298222566294</v>
      </c>
      <c r="G152" s="5" t="s">
        <v>595</v>
      </c>
      <c r="H152" s="5">
        <v>309419</v>
      </c>
      <c r="I152" s="5">
        <v>127881</v>
      </c>
      <c r="J152" s="5">
        <v>9937</v>
      </c>
      <c r="K152" s="6">
        <f t="shared" si="0"/>
        <v>7.7705053917313749E-2</v>
      </c>
      <c r="L152" s="6">
        <f t="shared" si="1"/>
        <v>0.41329394768905592</v>
      </c>
      <c r="M152" s="5" t="s">
        <v>596</v>
      </c>
      <c r="N152" s="5">
        <v>27494</v>
      </c>
      <c r="O152" s="6">
        <f t="shared" si="4"/>
        <v>0.21499675479547392</v>
      </c>
      <c r="P152" s="5" t="s">
        <v>316</v>
      </c>
      <c r="Q152" s="5">
        <v>21862</v>
      </c>
      <c r="R152" s="6">
        <f t="shared" si="2"/>
        <v>0.17095581048005568</v>
      </c>
      <c r="S152" t="s">
        <v>18</v>
      </c>
      <c r="T152" s="5" t="s">
        <v>319</v>
      </c>
      <c r="U152" t="str">
        <f>IF(COUNTIF(A:A, A152)&gt;=3, "Yes", "No")</f>
        <v>No</v>
      </c>
    </row>
    <row r="153" spans="1:21" x14ac:dyDescent="0.3">
      <c r="A153" s="5">
        <v>173</v>
      </c>
      <c r="B153" s="5" t="s">
        <v>198</v>
      </c>
      <c r="C153" s="5" t="s">
        <v>580</v>
      </c>
      <c r="D153" s="5" t="s">
        <v>597</v>
      </c>
      <c r="E153" s="5">
        <v>47410</v>
      </c>
      <c r="F153" s="6">
        <f t="shared" si="3"/>
        <v>0.33989317847797257</v>
      </c>
      <c r="G153" s="5" t="s">
        <v>328</v>
      </c>
      <c r="H153" s="5">
        <v>279585</v>
      </c>
      <c r="I153" s="5">
        <v>139485</v>
      </c>
      <c r="J153" s="5">
        <v>10027</v>
      </c>
      <c r="K153" s="6">
        <f t="shared" si="0"/>
        <v>7.1885865863712942E-2</v>
      </c>
      <c r="L153" s="6">
        <f t="shared" si="1"/>
        <v>0.49890015558774614</v>
      </c>
      <c r="M153" s="5" t="s">
        <v>598</v>
      </c>
      <c r="N153" s="5">
        <v>36615</v>
      </c>
      <c r="O153" s="6">
        <f t="shared" si="4"/>
        <v>0.26250134423056243</v>
      </c>
      <c r="P153" s="5" t="s">
        <v>599</v>
      </c>
      <c r="Q153" s="5">
        <v>30783</v>
      </c>
      <c r="R153" s="6">
        <f t="shared" si="2"/>
        <v>0.22069039681686203</v>
      </c>
      <c r="S153" t="s">
        <v>18</v>
      </c>
      <c r="T153" s="5" t="s">
        <v>319</v>
      </c>
      <c r="U153" t="str">
        <f>IF(COUNTIF(A:A, A153)&gt;=3, "Yes", "No")</f>
        <v>Yes</v>
      </c>
    </row>
    <row r="154" spans="1:21" x14ac:dyDescent="0.3">
      <c r="A154" s="5">
        <v>174</v>
      </c>
      <c r="B154" s="5" t="s">
        <v>602</v>
      </c>
      <c r="C154" s="5" t="s">
        <v>580</v>
      </c>
      <c r="D154" s="5" t="s">
        <v>603</v>
      </c>
      <c r="E154" s="5">
        <v>41580</v>
      </c>
      <c r="F154" s="6">
        <f t="shared" si="3"/>
        <v>0.31040042999193768</v>
      </c>
      <c r="G154" s="5" t="s">
        <v>328</v>
      </c>
      <c r="H154" s="5">
        <v>290484</v>
      </c>
      <c r="I154" s="5">
        <v>133956</v>
      </c>
      <c r="J154" s="5">
        <v>12679</v>
      </c>
      <c r="K154" s="6">
        <f t="shared" si="0"/>
        <v>9.465048224790229E-2</v>
      </c>
      <c r="L154" s="6">
        <f t="shared" si="1"/>
        <v>0.46114760193332505</v>
      </c>
      <c r="M154" s="5" t="s">
        <v>604</v>
      </c>
      <c r="N154" s="5">
        <v>25741</v>
      </c>
      <c r="O154" s="6">
        <f t="shared" si="4"/>
        <v>0.19216011227567262</v>
      </c>
      <c r="P154" s="5" t="s">
        <v>378</v>
      </c>
      <c r="Q154" s="5">
        <v>11547</v>
      </c>
      <c r="R154" s="6">
        <f t="shared" si="2"/>
        <v>8.6199946251007797E-2</v>
      </c>
      <c r="S154" t="s">
        <v>18</v>
      </c>
      <c r="T154" s="5" t="s">
        <v>319</v>
      </c>
      <c r="U154" t="str">
        <f>IF(COUNTIF(A:A, A154)&gt;=3, "Yes", "No")</f>
        <v>No</v>
      </c>
    </row>
    <row r="155" spans="1:21" x14ac:dyDescent="0.3">
      <c r="A155" s="5">
        <v>176</v>
      </c>
      <c r="B155" s="5" t="s">
        <v>207</v>
      </c>
      <c r="C155" s="5" t="s">
        <v>580</v>
      </c>
      <c r="D155" s="5" t="s">
        <v>605</v>
      </c>
      <c r="E155" s="5">
        <v>41388</v>
      </c>
      <c r="F155" s="6">
        <f t="shared" si="3"/>
        <v>0.33228694151178195</v>
      </c>
      <c r="G155" s="5" t="s">
        <v>328</v>
      </c>
      <c r="H155" s="5">
        <v>263798</v>
      </c>
      <c r="I155" s="5">
        <v>124555</v>
      </c>
      <c r="J155" s="5">
        <v>15597</v>
      </c>
      <c r="K155" s="6">
        <f t="shared" si="0"/>
        <v>0.12522178957087229</v>
      </c>
      <c r="L155" s="6">
        <f t="shared" si="1"/>
        <v>0.47216051675903531</v>
      </c>
      <c r="M155" s="5" t="s">
        <v>606</v>
      </c>
      <c r="N155" s="5">
        <v>23976</v>
      </c>
      <c r="O155" s="6">
        <f t="shared" si="4"/>
        <v>0.19249327606278352</v>
      </c>
      <c r="P155" s="5" t="s">
        <v>378</v>
      </c>
      <c r="Q155" s="5">
        <v>11747</v>
      </c>
      <c r="R155" s="6">
        <f t="shared" si="2"/>
        <v>9.4311749829392638E-2</v>
      </c>
      <c r="S155" t="s">
        <v>18</v>
      </c>
      <c r="T155" s="5" t="s">
        <v>319</v>
      </c>
      <c r="U155" t="str">
        <f>IF(COUNTIF(A:A, A155)&gt;=3, "Yes", "No")</f>
        <v>No</v>
      </c>
    </row>
    <row r="156" spans="1:21" x14ac:dyDescent="0.3">
      <c r="A156" s="5">
        <v>178</v>
      </c>
      <c r="B156" s="5" t="s">
        <v>607</v>
      </c>
      <c r="C156" s="5" t="s">
        <v>608</v>
      </c>
      <c r="D156" s="5" t="s">
        <v>609</v>
      </c>
      <c r="E156" s="5">
        <v>47718</v>
      </c>
      <c r="F156" s="6">
        <f t="shared" si="3"/>
        <v>0.40384224779959377</v>
      </c>
      <c r="G156" s="5" t="s">
        <v>316</v>
      </c>
      <c r="H156" s="5">
        <v>239073</v>
      </c>
      <c r="I156" s="5">
        <v>118160</v>
      </c>
      <c r="J156" s="5">
        <v>15328</v>
      </c>
      <c r="K156" s="6">
        <f t="shared" si="0"/>
        <v>0.12972241029113066</v>
      </c>
      <c r="L156" s="6">
        <f t="shared" si="1"/>
        <v>0.49424234438853404</v>
      </c>
      <c r="M156" s="5" t="s">
        <v>610</v>
      </c>
      <c r="N156" s="5">
        <v>20763</v>
      </c>
      <c r="O156" s="6">
        <f t="shared" si="4"/>
        <v>0.17571936357481382</v>
      </c>
      <c r="P156" s="5" t="s">
        <v>318</v>
      </c>
      <c r="Q156" s="5">
        <v>15430</v>
      </c>
      <c r="R156" s="6">
        <f t="shared" si="2"/>
        <v>0.13058564658090724</v>
      </c>
      <c r="S156" t="s">
        <v>18</v>
      </c>
      <c r="T156" s="5" t="s">
        <v>319</v>
      </c>
      <c r="U156" t="str">
        <f>IF(COUNTIF(A:A, A156)&gt;=3, "Yes", "No")</f>
        <v>No</v>
      </c>
    </row>
    <row r="157" spans="1:21" x14ac:dyDescent="0.3">
      <c r="A157" s="5">
        <v>182</v>
      </c>
      <c r="B157" s="5" t="s">
        <v>613</v>
      </c>
      <c r="C157" s="5" t="s">
        <v>608</v>
      </c>
      <c r="D157" s="5" t="s">
        <v>614</v>
      </c>
      <c r="E157" s="5">
        <v>60625</v>
      </c>
      <c r="F157" s="6">
        <f t="shared" si="3"/>
        <v>0.40904245270288508</v>
      </c>
      <c r="G157" s="5" t="s">
        <v>328</v>
      </c>
      <c r="H157" s="5">
        <v>265091</v>
      </c>
      <c r="I157" s="5">
        <v>148212</v>
      </c>
      <c r="J157" s="5">
        <v>23012</v>
      </c>
      <c r="K157" s="6">
        <f t="shared" si="0"/>
        <v>0.15526408118101098</v>
      </c>
      <c r="L157" s="6">
        <f t="shared" si="1"/>
        <v>0.55909857369733418</v>
      </c>
      <c r="M157" s="5" t="s">
        <v>615</v>
      </c>
      <c r="N157" s="5">
        <v>30849</v>
      </c>
      <c r="O157" s="6">
        <f t="shared" si="4"/>
        <v>0.20814104121123794</v>
      </c>
      <c r="P157" s="5" t="s">
        <v>318</v>
      </c>
      <c r="Q157" s="5">
        <v>22426</v>
      </c>
      <c r="R157" s="6">
        <f t="shared" si="2"/>
        <v>0.1513102852670499</v>
      </c>
      <c r="S157" t="s">
        <v>18</v>
      </c>
      <c r="T157" s="5" t="s">
        <v>319</v>
      </c>
      <c r="U157" t="str">
        <f>IF(COUNTIF(A:A, A157)&gt;=3, "Yes", "No")</f>
        <v>No</v>
      </c>
    </row>
    <row r="158" spans="1:21" x14ac:dyDescent="0.3">
      <c r="A158" s="5">
        <v>186</v>
      </c>
      <c r="B158" s="5" t="s">
        <v>618</v>
      </c>
      <c r="C158" s="5" t="s">
        <v>608</v>
      </c>
      <c r="D158" s="5" t="s">
        <v>619</v>
      </c>
      <c r="E158" s="5">
        <v>39188</v>
      </c>
      <c r="F158" s="6">
        <f t="shared" si="3"/>
        <v>0.35552733046042184</v>
      </c>
      <c r="G158" s="5" t="s">
        <v>316</v>
      </c>
      <c r="H158" s="5">
        <v>237743</v>
      </c>
      <c r="I158" s="5">
        <v>110225</v>
      </c>
      <c r="J158" s="5">
        <v>8513</v>
      </c>
      <c r="K158" s="6">
        <f t="shared" ref="K158:K221" si="5">J158/I158</f>
        <v>7.7232932637786342E-2</v>
      </c>
      <c r="L158" s="6">
        <f t="shared" ref="L158:L221" si="6">I158/H158</f>
        <v>0.46363089554687203</v>
      </c>
      <c r="M158" s="5" t="s">
        <v>620</v>
      </c>
      <c r="N158" s="5">
        <v>16165</v>
      </c>
      <c r="O158" s="6">
        <f t="shared" si="4"/>
        <v>0.14665457019732367</v>
      </c>
      <c r="P158" s="5" t="s">
        <v>378</v>
      </c>
      <c r="Q158" s="5">
        <v>686</v>
      </c>
      <c r="R158" s="6">
        <f t="shared" ref="R158:R221" si="7">Q158/I158</f>
        <v>6.223633476978907E-3</v>
      </c>
      <c r="S158" t="s">
        <v>18</v>
      </c>
      <c r="T158" s="5" t="s">
        <v>319</v>
      </c>
      <c r="U158" t="str">
        <f>IF(COUNTIF(A:A, A158)&gt;=3, "Yes", "No")</f>
        <v>No</v>
      </c>
    </row>
    <row r="159" spans="1:21" x14ac:dyDescent="0.3">
      <c r="A159" s="5">
        <v>192</v>
      </c>
      <c r="B159" s="5" t="s">
        <v>621</v>
      </c>
      <c r="C159" s="5" t="s">
        <v>622</v>
      </c>
      <c r="D159" s="5" t="s">
        <v>623</v>
      </c>
      <c r="E159" s="5">
        <v>76959</v>
      </c>
      <c r="F159" s="6">
        <f t="shared" ref="F159:F222" si="8">E159/I159</f>
        <v>0.38020215793217926</v>
      </c>
      <c r="G159" s="5" t="s">
        <v>624</v>
      </c>
      <c r="H159" s="5">
        <v>275945</v>
      </c>
      <c r="I159" s="5">
        <v>202416</v>
      </c>
      <c r="J159" s="5">
        <v>16094</v>
      </c>
      <c r="K159" s="6">
        <f t="shared" si="5"/>
        <v>7.9509524938740014E-2</v>
      </c>
      <c r="L159" s="6">
        <f t="shared" si="6"/>
        <v>0.73353748029498633</v>
      </c>
      <c r="M159" s="5" t="s">
        <v>625</v>
      </c>
      <c r="N159" s="5">
        <v>45853</v>
      </c>
      <c r="O159" s="6">
        <f t="shared" ref="O159:O222" si="9">N159/I159</f>
        <v>0.22652853529365269</v>
      </c>
      <c r="P159" s="5" t="s">
        <v>316</v>
      </c>
      <c r="Q159" s="5">
        <v>39799</v>
      </c>
      <c r="R159" s="6">
        <f t="shared" si="7"/>
        <v>0.19661983242431427</v>
      </c>
      <c r="S159" t="s">
        <v>18</v>
      </c>
      <c r="T159" s="5" t="s">
        <v>319</v>
      </c>
      <c r="U159" t="str">
        <f>IF(COUNTIF(A:A, A159)&gt;=3, "Yes", "No")</f>
        <v>No</v>
      </c>
    </row>
    <row r="160" spans="1:21" x14ac:dyDescent="0.3">
      <c r="A160" s="5">
        <v>195</v>
      </c>
      <c r="B160" s="5" t="s">
        <v>626</v>
      </c>
      <c r="C160" s="5" t="s">
        <v>627</v>
      </c>
      <c r="D160" s="5" t="s">
        <v>628</v>
      </c>
      <c r="E160" s="5">
        <v>60305</v>
      </c>
      <c r="F160" s="6">
        <f t="shared" si="8"/>
        <v>0.30610432063672544</v>
      </c>
      <c r="G160" s="5" t="s">
        <v>465</v>
      </c>
      <c r="H160" s="5">
        <v>275914</v>
      </c>
      <c r="I160" s="5">
        <v>197008</v>
      </c>
      <c r="J160" s="5">
        <v>16923</v>
      </c>
      <c r="K160" s="6">
        <f t="shared" si="5"/>
        <v>8.5900064971980827E-2</v>
      </c>
      <c r="L160" s="6">
        <f t="shared" si="6"/>
        <v>0.71401958581297076</v>
      </c>
      <c r="M160" s="5" t="s">
        <v>629</v>
      </c>
      <c r="N160" s="5">
        <v>40570</v>
      </c>
      <c r="O160" s="6">
        <f t="shared" si="9"/>
        <v>0.20593072362543652</v>
      </c>
      <c r="P160" s="5" t="s">
        <v>341</v>
      </c>
      <c r="Q160" s="5">
        <v>18115</v>
      </c>
      <c r="R160" s="6">
        <f t="shared" si="7"/>
        <v>9.1950580687078703E-2</v>
      </c>
      <c r="S160" t="s">
        <v>18</v>
      </c>
      <c r="T160" s="5" t="s">
        <v>319</v>
      </c>
      <c r="U160" t="str">
        <f>IF(COUNTIF(A:A, A160)&gt;=3, "Yes", "No")</f>
        <v>No</v>
      </c>
    </row>
    <row r="161" spans="1:21" x14ac:dyDescent="0.3">
      <c r="A161" s="5">
        <v>198</v>
      </c>
      <c r="B161" s="5" t="s">
        <v>632</v>
      </c>
      <c r="C161" s="5" t="s">
        <v>627</v>
      </c>
      <c r="D161" s="5" t="s">
        <v>633</v>
      </c>
      <c r="E161" s="5">
        <v>92579</v>
      </c>
      <c r="F161" s="6">
        <f t="shared" si="8"/>
        <v>0.42817434256167386</v>
      </c>
      <c r="G161" s="5" t="s">
        <v>318</v>
      </c>
      <c r="H161" s="5">
        <v>310489</v>
      </c>
      <c r="I161" s="5">
        <v>216218</v>
      </c>
      <c r="J161" s="5">
        <v>10941</v>
      </c>
      <c r="K161" s="6">
        <f t="shared" si="5"/>
        <v>5.0601707535912831E-2</v>
      </c>
      <c r="L161" s="6">
        <f t="shared" si="6"/>
        <v>0.69637893774014537</v>
      </c>
      <c r="M161" s="5" t="s">
        <v>634</v>
      </c>
      <c r="N161" s="5">
        <v>17187</v>
      </c>
      <c r="O161" s="6">
        <f t="shared" si="9"/>
        <v>7.9489219213941489E-2</v>
      </c>
      <c r="P161" s="5" t="s">
        <v>328</v>
      </c>
      <c r="Q161" s="5">
        <v>3566</v>
      </c>
      <c r="R161" s="6">
        <f t="shared" si="7"/>
        <v>1.6492613935935027E-2</v>
      </c>
      <c r="S161" t="s">
        <v>18</v>
      </c>
      <c r="T161" s="5" t="s">
        <v>319</v>
      </c>
      <c r="U161" t="str">
        <f>IF(COUNTIF(A:A, A161)&gt;=3, "Yes", "No")</f>
        <v>No</v>
      </c>
    </row>
    <row r="162" spans="1:21" x14ac:dyDescent="0.3">
      <c r="A162" s="5">
        <v>199</v>
      </c>
      <c r="B162" s="5" t="s">
        <v>635</v>
      </c>
      <c r="C162" s="5" t="s">
        <v>627</v>
      </c>
      <c r="D162" s="5" t="s">
        <v>636</v>
      </c>
      <c r="E162" s="5">
        <v>87649</v>
      </c>
      <c r="F162" s="6">
        <f t="shared" si="8"/>
        <v>0.4394733279516248</v>
      </c>
      <c r="G162" s="5" t="s">
        <v>499</v>
      </c>
      <c r="H162" s="5">
        <v>271999</v>
      </c>
      <c r="I162" s="5">
        <v>199441</v>
      </c>
      <c r="J162" s="5">
        <v>11345</v>
      </c>
      <c r="K162" s="6">
        <f t="shared" si="5"/>
        <v>5.688399075415787E-2</v>
      </c>
      <c r="L162" s="6">
        <f t="shared" si="6"/>
        <v>0.73324166632965559</v>
      </c>
      <c r="M162" s="5" t="s">
        <v>637</v>
      </c>
      <c r="N162" s="5">
        <v>17098</v>
      </c>
      <c r="O162" s="6">
        <f t="shared" si="9"/>
        <v>8.5729614271889937E-2</v>
      </c>
      <c r="P162" s="5" t="s">
        <v>465</v>
      </c>
      <c r="Q162" s="5">
        <v>11538</v>
      </c>
      <c r="R162" s="6">
        <f t="shared" si="7"/>
        <v>5.785169548889145E-2</v>
      </c>
      <c r="S162" t="s">
        <v>18</v>
      </c>
      <c r="T162" s="5" t="s">
        <v>319</v>
      </c>
      <c r="U162" t="str">
        <f>IF(COUNTIF(A:A, A162)&gt;=3, "Yes", "No")</f>
        <v>No</v>
      </c>
    </row>
    <row r="163" spans="1:21" x14ac:dyDescent="0.3">
      <c r="A163" s="5">
        <v>203</v>
      </c>
      <c r="B163" s="5" t="s">
        <v>240</v>
      </c>
      <c r="C163" s="5" t="s">
        <v>627</v>
      </c>
      <c r="D163" s="5" t="s">
        <v>638</v>
      </c>
      <c r="E163" s="5">
        <v>78602</v>
      </c>
      <c r="F163" s="6">
        <f t="shared" si="8"/>
        <v>0.35956670112807754</v>
      </c>
      <c r="G163" s="5" t="s">
        <v>316</v>
      </c>
      <c r="H163" s="5">
        <v>318160</v>
      </c>
      <c r="I163" s="5">
        <v>218602</v>
      </c>
      <c r="J163" s="5">
        <v>18951</v>
      </c>
      <c r="K163" s="6">
        <f t="shared" si="5"/>
        <v>8.6691796049441452E-2</v>
      </c>
      <c r="L163" s="6">
        <f t="shared" si="6"/>
        <v>0.68708197133517723</v>
      </c>
      <c r="M163" s="5" t="s">
        <v>639</v>
      </c>
      <c r="N163" s="5">
        <v>50165</v>
      </c>
      <c r="O163" s="6">
        <f t="shared" si="9"/>
        <v>0.22948097455649993</v>
      </c>
      <c r="P163" s="5" t="s">
        <v>341</v>
      </c>
      <c r="Q163" s="5">
        <v>25725</v>
      </c>
      <c r="R163" s="6">
        <f t="shared" si="7"/>
        <v>0.11767961866771576</v>
      </c>
      <c r="S163" t="s">
        <v>18</v>
      </c>
      <c r="T163" s="5" t="s">
        <v>319</v>
      </c>
      <c r="U163" t="str">
        <f>IF(COUNTIF(A:A, A163)&gt;=3, "Yes", "No")</f>
        <v>No</v>
      </c>
    </row>
    <row r="164" spans="1:21" x14ac:dyDescent="0.3">
      <c r="A164" s="5">
        <v>207</v>
      </c>
      <c r="B164" s="5" t="s">
        <v>640</v>
      </c>
      <c r="C164" s="5" t="s">
        <v>627</v>
      </c>
      <c r="D164" s="5" t="s">
        <v>641</v>
      </c>
      <c r="E164" s="5">
        <v>60173</v>
      </c>
      <c r="F164" s="6">
        <f t="shared" si="8"/>
        <v>0.27194746618338927</v>
      </c>
      <c r="G164" s="5" t="s">
        <v>338</v>
      </c>
      <c r="H164" s="5">
        <v>363553</v>
      </c>
      <c r="I164" s="5">
        <v>221267</v>
      </c>
      <c r="J164" s="5">
        <v>15316</v>
      </c>
      <c r="K164" s="6">
        <f t="shared" si="5"/>
        <v>6.9219540193521847E-2</v>
      </c>
      <c r="L164" s="6">
        <f t="shared" si="6"/>
        <v>0.60862377700087744</v>
      </c>
      <c r="M164" s="5" t="s">
        <v>642</v>
      </c>
      <c r="N164" s="5">
        <v>44211</v>
      </c>
      <c r="O164" s="6">
        <f t="shared" si="9"/>
        <v>0.1998083763055494</v>
      </c>
      <c r="P164" s="5" t="s">
        <v>341</v>
      </c>
      <c r="Q164" s="5">
        <v>585</v>
      </c>
      <c r="R164" s="6">
        <f t="shared" si="7"/>
        <v>2.6438646522075138E-3</v>
      </c>
      <c r="S164" t="s">
        <v>18</v>
      </c>
      <c r="T164" s="5" t="s">
        <v>319</v>
      </c>
      <c r="U164" t="str">
        <f>IF(COUNTIF(A:A, A164)&gt;=3, "Yes", "No")</f>
        <v>No</v>
      </c>
    </row>
    <row r="165" spans="1:21" x14ac:dyDescent="0.3">
      <c r="A165" s="5">
        <v>209</v>
      </c>
      <c r="B165" s="5" t="s">
        <v>249</v>
      </c>
      <c r="C165" s="5" t="s">
        <v>627</v>
      </c>
      <c r="D165" s="5" t="s">
        <v>643</v>
      </c>
      <c r="E165" s="5">
        <v>56460</v>
      </c>
      <c r="F165" s="6">
        <f t="shared" si="8"/>
        <v>0.380299335856987</v>
      </c>
      <c r="G165" s="5" t="s">
        <v>318</v>
      </c>
      <c r="H165" s="5">
        <v>285754</v>
      </c>
      <c r="I165" s="5">
        <v>148462</v>
      </c>
      <c r="J165" s="5">
        <v>22047</v>
      </c>
      <c r="K165" s="6">
        <f t="shared" si="5"/>
        <v>0.1485026471420296</v>
      </c>
      <c r="L165" s="6">
        <f t="shared" si="6"/>
        <v>0.51954478327512477</v>
      </c>
      <c r="M165" s="5" t="s">
        <v>644</v>
      </c>
      <c r="N165" s="5">
        <v>24173</v>
      </c>
      <c r="O165" s="6">
        <f t="shared" si="9"/>
        <v>0.16282280987727499</v>
      </c>
      <c r="P165" s="5" t="s">
        <v>341</v>
      </c>
      <c r="Q165" s="5">
        <v>9511</v>
      </c>
      <c r="R165" s="6">
        <f t="shared" si="7"/>
        <v>6.4063531408710642E-2</v>
      </c>
      <c r="S165" t="s">
        <v>18</v>
      </c>
      <c r="T165" s="5" t="s">
        <v>319</v>
      </c>
      <c r="U165" t="str">
        <f>IF(COUNTIF(A:A, A165)&gt;=3, "Yes", "No")</f>
        <v>No</v>
      </c>
    </row>
    <row r="166" spans="1:21" x14ac:dyDescent="0.3">
      <c r="A166" s="5">
        <v>214</v>
      </c>
      <c r="B166" s="5" t="s">
        <v>645</v>
      </c>
      <c r="C166" s="5" t="s">
        <v>627</v>
      </c>
      <c r="D166" s="5" t="s">
        <v>646</v>
      </c>
      <c r="E166" s="5">
        <v>54692</v>
      </c>
      <c r="F166" s="6">
        <f t="shared" si="8"/>
        <v>0.39651422440042922</v>
      </c>
      <c r="G166" s="5" t="s">
        <v>318</v>
      </c>
      <c r="H166" s="5">
        <v>292125</v>
      </c>
      <c r="I166" s="5">
        <v>137932</v>
      </c>
      <c r="J166" s="5">
        <v>14955</v>
      </c>
      <c r="K166" s="6">
        <f t="shared" si="5"/>
        <v>0.10842299103906272</v>
      </c>
      <c r="L166" s="6">
        <f t="shared" si="6"/>
        <v>0.47216773641420623</v>
      </c>
      <c r="M166" s="5" t="s">
        <v>647</v>
      </c>
      <c r="N166" s="5">
        <v>16508</v>
      </c>
      <c r="O166" s="6">
        <f t="shared" si="9"/>
        <v>0.11968216222486443</v>
      </c>
      <c r="P166" s="5" t="s">
        <v>328</v>
      </c>
      <c r="Q166" s="5">
        <v>1866</v>
      </c>
      <c r="R166" s="6">
        <f t="shared" si="7"/>
        <v>1.3528405301162892E-2</v>
      </c>
      <c r="S166" t="s">
        <v>18</v>
      </c>
      <c r="T166" s="5" t="s">
        <v>319</v>
      </c>
      <c r="U166" t="str">
        <f>IF(COUNTIF(A:A, A166)&gt;=3, "Yes", "No")</f>
        <v>No</v>
      </c>
    </row>
    <row r="167" spans="1:21" x14ac:dyDescent="0.3">
      <c r="A167" s="5">
        <v>216</v>
      </c>
      <c r="B167" s="5" t="s">
        <v>648</v>
      </c>
      <c r="C167" s="5" t="s">
        <v>649</v>
      </c>
      <c r="D167" s="5" t="s">
        <v>650</v>
      </c>
      <c r="E167" s="5">
        <v>67696</v>
      </c>
      <c r="F167" s="6">
        <f t="shared" si="8"/>
        <v>0.42026583229347092</v>
      </c>
      <c r="G167" s="5" t="s">
        <v>341</v>
      </c>
      <c r="H167" s="5">
        <v>238420</v>
      </c>
      <c r="I167" s="5">
        <v>161079</v>
      </c>
      <c r="J167" s="5">
        <v>20062</v>
      </c>
      <c r="K167" s="6">
        <f t="shared" si="5"/>
        <v>0.1245475822422538</v>
      </c>
      <c r="L167" s="6">
        <f t="shared" si="6"/>
        <v>0.67561026759500042</v>
      </c>
      <c r="M167" s="5" t="s">
        <v>651</v>
      </c>
      <c r="N167" s="5">
        <v>27446</v>
      </c>
      <c r="O167" s="6">
        <f t="shared" si="9"/>
        <v>0.17038844293793728</v>
      </c>
      <c r="P167" s="5" t="s">
        <v>318</v>
      </c>
      <c r="Q167" s="5">
        <v>15585</v>
      </c>
      <c r="R167" s="6">
        <f t="shared" si="7"/>
        <v>9.6753766785242029E-2</v>
      </c>
      <c r="S167" t="s">
        <v>18</v>
      </c>
      <c r="T167" s="5" t="s">
        <v>319</v>
      </c>
      <c r="U167" t="str">
        <f>IF(COUNTIF(A:A, A167)&gt;=3, "Yes", "No")</f>
        <v>No</v>
      </c>
    </row>
    <row r="168" spans="1:21" x14ac:dyDescent="0.3">
      <c r="A168" s="5">
        <v>220</v>
      </c>
      <c r="B168" s="5" t="s">
        <v>652</v>
      </c>
      <c r="C168" s="5" t="s">
        <v>649</v>
      </c>
      <c r="D168" s="5" t="s">
        <v>653</v>
      </c>
      <c r="E168" s="5">
        <v>57118</v>
      </c>
      <c r="F168" s="6">
        <f t="shared" si="8"/>
        <v>0.31311946320498202</v>
      </c>
      <c r="G168" s="5" t="s">
        <v>316</v>
      </c>
      <c r="H168" s="5">
        <v>264965</v>
      </c>
      <c r="I168" s="5">
        <v>182416</v>
      </c>
      <c r="J168" s="5">
        <v>11484</v>
      </c>
      <c r="K168" s="6">
        <f t="shared" si="5"/>
        <v>6.2955003947022192E-2</v>
      </c>
      <c r="L168" s="6">
        <f t="shared" si="6"/>
        <v>0.68845319193100973</v>
      </c>
      <c r="M168" s="5" t="s">
        <v>654</v>
      </c>
      <c r="N168" s="5">
        <v>37580</v>
      </c>
      <c r="O168" s="6">
        <f t="shared" si="9"/>
        <v>0.20601263047101132</v>
      </c>
      <c r="P168" s="5" t="s">
        <v>328</v>
      </c>
      <c r="Q168" s="5">
        <v>2485</v>
      </c>
      <c r="R168" s="6">
        <f t="shared" si="7"/>
        <v>1.3622708534339093E-2</v>
      </c>
      <c r="S168" t="s">
        <v>18</v>
      </c>
      <c r="T168" s="5" t="s">
        <v>319</v>
      </c>
      <c r="U168" t="str">
        <f>IF(COUNTIF(A:A, A168)&gt;=3, "Yes", "No")</f>
        <v>No</v>
      </c>
    </row>
    <row r="169" spans="1:21" x14ac:dyDescent="0.3">
      <c r="A169" s="5">
        <v>224</v>
      </c>
      <c r="B169" s="5" t="s">
        <v>655</v>
      </c>
      <c r="C169" s="5" t="s">
        <v>649</v>
      </c>
      <c r="D169" s="5" t="s">
        <v>656</v>
      </c>
      <c r="E169" s="5">
        <v>73263</v>
      </c>
      <c r="F169" s="6">
        <f t="shared" si="8"/>
        <v>0.36351592735933314</v>
      </c>
      <c r="G169" s="5" t="s">
        <v>328</v>
      </c>
      <c r="H169" s="5">
        <v>295044</v>
      </c>
      <c r="I169" s="5">
        <v>201540</v>
      </c>
      <c r="J169" s="5">
        <v>27422</v>
      </c>
      <c r="K169" s="6">
        <f t="shared" si="5"/>
        <v>0.13606232013496081</v>
      </c>
      <c r="L169" s="6">
        <f t="shared" si="6"/>
        <v>0.68308455687965186</v>
      </c>
      <c r="M169" s="5" t="s">
        <v>657</v>
      </c>
      <c r="N169" s="5">
        <v>45822</v>
      </c>
      <c r="O169" s="6">
        <f t="shared" si="9"/>
        <v>0.22735933313486156</v>
      </c>
      <c r="P169" s="5" t="s">
        <v>338</v>
      </c>
      <c r="Q169" s="5">
        <v>21772</v>
      </c>
      <c r="R169" s="6">
        <f t="shared" si="7"/>
        <v>0.10802818299096953</v>
      </c>
      <c r="S169" t="s">
        <v>18</v>
      </c>
      <c r="T169" s="5" t="s">
        <v>319</v>
      </c>
      <c r="U169" t="str">
        <f>IF(COUNTIF(A:A, A169)&gt;=3, "Yes", "No")</f>
        <v>No</v>
      </c>
    </row>
    <row r="170" spans="1:21" x14ac:dyDescent="0.3">
      <c r="A170" s="5">
        <v>226</v>
      </c>
      <c r="B170" s="5" t="s">
        <v>271</v>
      </c>
      <c r="C170" s="5" t="s">
        <v>649</v>
      </c>
      <c r="D170" s="5" t="s">
        <v>658</v>
      </c>
      <c r="E170" s="5">
        <v>99281</v>
      </c>
      <c r="F170" s="6">
        <f t="shared" si="8"/>
        <v>0.45737701897118849</v>
      </c>
      <c r="G170" s="5" t="s">
        <v>341</v>
      </c>
      <c r="H170" s="5">
        <v>294710</v>
      </c>
      <c r="I170" s="5">
        <v>217066</v>
      </c>
      <c r="J170" s="5">
        <v>13637</v>
      </c>
      <c r="K170" s="6">
        <f t="shared" si="5"/>
        <v>6.2824210148065565E-2</v>
      </c>
      <c r="L170" s="6">
        <f t="shared" si="6"/>
        <v>0.73654100641308407</v>
      </c>
      <c r="M170" s="5" t="s">
        <v>659</v>
      </c>
      <c r="N170" s="5">
        <v>22054</v>
      </c>
      <c r="O170" s="6">
        <f t="shared" si="9"/>
        <v>0.10160043489077054</v>
      </c>
      <c r="P170" s="5" t="s">
        <v>328</v>
      </c>
      <c r="Q170" s="5">
        <v>16941</v>
      </c>
      <c r="R170" s="6">
        <f t="shared" si="7"/>
        <v>7.8045387117282303E-2</v>
      </c>
      <c r="S170" t="s">
        <v>18</v>
      </c>
      <c r="T170" s="5" t="s">
        <v>319</v>
      </c>
      <c r="U170" t="str">
        <f>IF(COUNTIF(A:A, A170)&gt;=3, "Yes", "No")</f>
        <v>No</v>
      </c>
    </row>
    <row r="171" spans="1:21" x14ac:dyDescent="0.3">
      <c r="A171" s="5">
        <v>227</v>
      </c>
      <c r="B171" s="5" t="s">
        <v>274</v>
      </c>
      <c r="C171" s="5" t="s">
        <v>649</v>
      </c>
      <c r="D171" s="5" t="s">
        <v>660</v>
      </c>
      <c r="E171" s="5">
        <v>84058</v>
      </c>
      <c r="F171" s="6">
        <f t="shared" si="8"/>
        <v>0.43039789455359106</v>
      </c>
      <c r="G171" s="5" t="s">
        <v>318</v>
      </c>
      <c r="H171" s="5">
        <v>295715</v>
      </c>
      <c r="I171" s="5">
        <v>195303</v>
      </c>
      <c r="J171" s="5">
        <v>37816</v>
      </c>
      <c r="K171" s="6">
        <f t="shared" si="5"/>
        <v>0.19362733803372195</v>
      </c>
      <c r="L171" s="6">
        <f t="shared" si="6"/>
        <v>0.66044333226248242</v>
      </c>
      <c r="M171" s="5" t="s">
        <v>661</v>
      </c>
      <c r="N171" s="5">
        <v>46164</v>
      </c>
      <c r="O171" s="6">
        <f t="shared" si="9"/>
        <v>0.23637117709405386</v>
      </c>
      <c r="P171" s="5" t="s">
        <v>341</v>
      </c>
      <c r="Q171" s="5">
        <v>36687</v>
      </c>
      <c r="R171" s="6">
        <f t="shared" si="7"/>
        <v>0.18784657685749834</v>
      </c>
      <c r="S171" t="s">
        <v>18</v>
      </c>
      <c r="T171" s="5" t="s">
        <v>319</v>
      </c>
      <c r="U171" t="str">
        <f>IF(COUNTIF(A:A, A171)&gt;=3, "Yes", "No")</f>
        <v>No</v>
      </c>
    </row>
    <row r="172" spans="1:21" x14ac:dyDescent="0.3">
      <c r="A172" s="5">
        <v>237</v>
      </c>
      <c r="B172" s="5" t="s">
        <v>666</v>
      </c>
      <c r="C172" s="5" t="s">
        <v>663</v>
      </c>
      <c r="D172" s="5" t="s">
        <v>667</v>
      </c>
      <c r="E172" s="5">
        <v>66686</v>
      </c>
      <c r="F172" s="6">
        <f t="shared" si="8"/>
        <v>0.39203306232106427</v>
      </c>
      <c r="G172" s="5" t="s">
        <v>318</v>
      </c>
      <c r="H172" s="5">
        <v>271610</v>
      </c>
      <c r="I172" s="5">
        <v>170103</v>
      </c>
      <c r="J172" s="5">
        <v>24894</v>
      </c>
      <c r="K172" s="6">
        <f t="shared" si="5"/>
        <v>0.14634662527997744</v>
      </c>
      <c r="L172" s="6">
        <f t="shared" si="6"/>
        <v>0.62627664666249405</v>
      </c>
      <c r="M172" s="5" t="s">
        <v>668</v>
      </c>
      <c r="N172" s="5">
        <v>37837</v>
      </c>
      <c r="O172" s="6">
        <f t="shared" si="9"/>
        <v>0.22243581829832512</v>
      </c>
      <c r="P172" s="5" t="s">
        <v>316</v>
      </c>
      <c r="Q172" s="5">
        <v>22419</v>
      </c>
      <c r="R172" s="6">
        <f t="shared" si="7"/>
        <v>0.13179661734360945</v>
      </c>
      <c r="S172" t="s">
        <v>18</v>
      </c>
      <c r="T172" s="5" t="s">
        <v>319</v>
      </c>
      <c r="U172" t="str">
        <f>IF(COUNTIF(A:A, A172)&gt;=3, "Yes", "No")</f>
        <v>No</v>
      </c>
    </row>
    <row r="173" spans="1:21" x14ac:dyDescent="0.3">
      <c r="A173" s="5">
        <v>239</v>
      </c>
      <c r="B173" s="5" t="s">
        <v>669</v>
      </c>
      <c r="C173" s="5" t="s">
        <v>663</v>
      </c>
      <c r="D173" s="5" t="s">
        <v>670</v>
      </c>
      <c r="E173" s="5">
        <v>64237</v>
      </c>
      <c r="F173" s="6">
        <f t="shared" si="8"/>
        <v>0.36720286276123837</v>
      </c>
      <c r="G173" s="5" t="s">
        <v>316</v>
      </c>
      <c r="H173" s="5">
        <v>258311</v>
      </c>
      <c r="I173" s="5">
        <v>174936</v>
      </c>
      <c r="J173" s="5">
        <v>8858</v>
      </c>
      <c r="K173" s="6">
        <f t="shared" si="5"/>
        <v>5.0635661041752413E-2</v>
      </c>
      <c r="L173" s="6">
        <f t="shared" si="6"/>
        <v>0.67723016054291141</v>
      </c>
      <c r="M173" s="5" t="s">
        <v>671</v>
      </c>
      <c r="N173" s="5">
        <v>37414</v>
      </c>
      <c r="O173" s="6">
        <f t="shared" si="9"/>
        <v>0.21387250194356794</v>
      </c>
      <c r="P173" s="5" t="s">
        <v>318</v>
      </c>
      <c r="Q173" s="5">
        <v>31485</v>
      </c>
      <c r="R173" s="6">
        <f t="shared" si="7"/>
        <v>0.17998010701056386</v>
      </c>
      <c r="S173" t="s">
        <v>18</v>
      </c>
      <c r="T173" s="5" t="s">
        <v>319</v>
      </c>
      <c r="U173" t="str">
        <f>IF(COUNTIF(A:A, A173)&gt;=3, "Yes", "No")</f>
        <v>No</v>
      </c>
    </row>
    <row r="174" spans="1:21" x14ac:dyDescent="0.3">
      <c r="A174" s="5">
        <v>240</v>
      </c>
      <c r="B174" s="5" t="s">
        <v>672</v>
      </c>
      <c r="C174" s="5" t="s">
        <v>673</v>
      </c>
      <c r="D174" s="5" t="s">
        <v>674</v>
      </c>
      <c r="E174" s="5">
        <v>65178</v>
      </c>
      <c r="F174" s="6">
        <f t="shared" si="8"/>
        <v>0.39986503067484663</v>
      </c>
      <c r="G174" s="5" t="s">
        <v>328</v>
      </c>
      <c r="H174" s="5">
        <v>283117</v>
      </c>
      <c r="I174" s="5">
        <v>163000</v>
      </c>
      <c r="J174" s="5">
        <v>20442</v>
      </c>
      <c r="K174" s="6">
        <f t="shared" si="5"/>
        <v>0.12541104294478528</v>
      </c>
      <c r="L174" s="6">
        <f t="shared" si="6"/>
        <v>0.57573370726590067</v>
      </c>
      <c r="M174" s="5" t="s">
        <v>675</v>
      </c>
      <c r="N174" s="5">
        <v>30521</v>
      </c>
      <c r="O174" s="6">
        <f t="shared" si="9"/>
        <v>0.18724539877300614</v>
      </c>
      <c r="P174" s="5" t="s">
        <v>318</v>
      </c>
      <c r="Q174" s="5">
        <v>14952</v>
      </c>
      <c r="R174" s="6">
        <f t="shared" si="7"/>
        <v>9.1730061349693248E-2</v>
      </c>
      <c r="S174" t="s">
        <v>18</v>
      </c>
      <c r="T174" s="5" t="s">
        <v>319</v>
      </c>
      <c r="U174" t="str">
        <f>IF(COUNTIF(A:A, A174)&gt;=3, "Yes", "No")</f>
        <v>No</v>
      </c>
    </row>
    <row r="175" spans="1:21" x14ac:dyDescent="0.3">
      <c r="A175" s="5">
        <v>241</v>
      </c>
      <c r="B175" s="5" t="s">
        <v>281</v>
      </c>
      <c r="C175" s="5" t="s">
        <v>673</v>
      </c>
      <c r="D175" s="5" t="s">
        <v>676</v>
      </c>
      <c r="E175" s="5">
        <v>70701</v>
      </c>
      <c r="F175" s="6">
        <f t="shared" si="8"/>
        <v>0.32519962466882546</v>
      </c>
      <c r="G175" s="5" t="s">
        <v>316</v>
      </c>
      <c r="H175" s="5">
        <v>331310</v>
      </c>
      <c r="I175" s="5">
        <v>217408</v>
      </c>
      <c r="J175" s="5">
        <v>29610</v>
      </c>
      <c r="K175" s="6">
        <f t="shared" si="5"/>
        <v>0.13619554018251398</v>
      </c>
      <c r="L175" s="6">
        <f t="shared" si="6"/>
        <v>0.65620717756783675</v>
      </c>
      <c r="M175" s="5" t="s">
        <v>677</v>
      </c>
      <c r="N175" s="5">
        <v>36380</v>
      </c>
      <c r="O175" s="6">
        <f t="shared" si="9"/>
        <v>0.16733514866058286</v>
      </c>
      <c r="P175" s="5" t="s">
        <v>318</v>
      </c>
      <c r="Q175" s="5">
        <v>485</v>
      </c>
      <c r="R175" s="6">
        <f t="shared" si="7"/>
        <v>2.2308286723579629E-3</v>
      </c>
      <c r="S175" t="s">
        <v>18</v>
      </c>
      <c r="T175" s="5" t="s">
        <v>319</v>
      </c>
      <c r="U175" t="str">
        <f>IF(COUNTIF(A:A, A175)&gt;=3, "Yes", "No")</f>
        <v>Yes</v>
      </c>
    </row>
    <row r="176" spans="1:21" x14ac:dyDescent="0.3">
      <c r="A176" s="5">
        <v>243</v>
      </c>
      <c r="B176" s="5" t="s">
        <v>682</v>
      </c>
      <c r="C176" s="5" t="s">
        <v>673</v>
      </c>
      <c r="D176" s="5" t="s">
        <v>683</v>
      </c>
      <c r="E176" s="5">
        <v>78548</v>
      </c>
      <c r="F176" s="6">
        <f t="shared" si="8"/>
        <v>0.39850234389268829</v>
      </c>
      <c r="G176" s="5" t="s">
        <v>341</v>
      </c>
      <c r="H176" s="5">
        <v>294998</v>
      </c>
      <c r="I176" s="5">
        <v>197108</v>
      </c>
      <c r="J176" s="5">
        <v>12389</v>
      </c>
      <c r="K176" s="6">
        <f t="shared" si="5"/>
        <v>6.2853866915599577E-2</v>
      </c>
      <c r="L176" s="6">
        <f t="shared" si="6"/>
        <v>0.66816724181180887</v>
      </c>
      <c r="M176" s="5" t="s">
        <v>684</v>
      </c>
      <c r="N176" s="5">
        <v>37324</v>
      </c>
      <c r="O176" s="6">
        <f t="shared" si="9"/>
        <v>0.18935811839194755</v>
      </c>
      <c r="P176" s="5" t="s">
        <v>499</v>
      </c>
      <c r="Q176" s="5">
        <v>29564</v>
      </c>
      <c r="R176" s="6">
        <f t="shared" si="7"/>
        <v>0.14998883860624632</v>
      </c>
      <c r="S176" t="s">
        <v>18</v>
      </c>
      <c r="T176" s="5" t="s">
        <v>319</v>
      </c>
      <c r="U176" t="str">
        <f>IF(COUNTIF(A:A, A176)&gt;=3, "Yes", "No")</f>
        <v>No</v>
      </c>
    </row>
    <row r="177" spans="1:21" x14ac:dyDescent="0.3">
      <c r="A177" s="5">
        <v>245</v>
      </c>
      <c r="B177" s="5" t="s">
        <v>685</v>
      </c>
      <c r="C177" s="5" t="s">
        <v>686</v>
      </c>
      <c r="D177" s="5" t="s">
        <v>687</v>
      </c>
      <c r="E177" s="5">
        <v>97803</v>
      </c>
      <c r="F177" s="6">
        <f t="shared" si="8"/>
        <v>0.43815211207031723</v>
      </c>
      <c r="G177" s="5" t="s">
        <v>341</v>
      </c>
      <c r="H177" s="5">
        <v>296816</v>
      </c>
      <c r="I177" s="5">
        <v>223217</v>
      </c>
      <c r="J177" s="5">
        <v>35778</v>
      </c>
      <c r="K177" s="6">
        <f t="shared" si="5"/>
        <v>0.16028349095275002</v>
      </c>
      <c r="L177" s="6">
        <f t="shared" si="6"/>
        <v>0.75203829982211201</v>
      </c>
      <c r="M177" s="5" t="s">
        <v>688</v>
      </c>
      <c r="N177" s="5">
        <v>40616</v>
      </c>
      <c r="O177" s="6">
        <f t="shared" si="9"/>
        <v>0.18195746739719645</v>
      </c>
      <c r="P177" s="5" t="s">
        <v>328</v>
      </c>
      <c r="Q177" s="5">
        <v>26467</v>
      </c>
      <c r="R177" s="6">
        <f t="shared" si="7"/>
        <v>0.11857071818006693</v>
      </c>
      <c r="S177" t="s">
        <v>18</v>
      </c>
      <c r="T177" s="5" t="s">
        <v>319</v>
      </c>
      <c r="U177" t="str">
        <f>IF(COUNTIF(A:A, A177)&gt;=3, "Yes", "No")</f>
        <v>No</v>
      </c>
    </row>
    <row r="178" spans="1:21" x14ac:dyDescent="0.3">
      <c r="A178" s="5">
        <v>249</v>
      </c>
      <c r="B178" s="5" t="s">
        <v>692</v>
      </c>
      <c r="C178" s="5" t="s">
        <v>686</v>
      </c>
      <c r="D178" s="5" t="s">
        <v>693</v>
      </c>
      <c r="E178" s="5">
        <v>46907</v>
      </c>
      <c r="F178" s="6">
        <f t="shared" si="8"/>
        <v>0.28898034118002208</v>
      </c>
      <c r="G178" s="5" t="s">
        <v>316</v>
      </c>
      <c r="H178" s="5">
        <v>278177</v>
      </c>
      <c r="I178" s="5">
        <v>162319</v>
      </c>
      <c r="J178" s="5">
        <v>9769</v>
      </c>
      <c r="K178" s="6">
        <f t="shared" si="5"/>
        <v>6.0183958747897656E-2</v>
      </c>
      <c r="L178" s="6">
        <f t="shared" si="6"/>
        <v>0.58350977974455109</v>
      </c>
      <c r="M178" s="5" t="s">
        <v>694</v>
      </c>
      <c r="N178" s="5">
        <v>33334</v>
      </c>
      <c r="O178" s="6">
        <f t="shared" si="9"/>
        <v>0.20536104830611326</v>
      </c>
      <c r="P178" s="5" t="s">
        <v>328</v>
      </c>
      <c r="Q178" s="5">
        <v>10015</v>
      </c>
      <c r="R178" s="6">
        <f t="shared" si="7"/>
        <v>6.1699492973712258E-2</v>
      </c>
      <c r="S178" t="s">
        <v>18</v>
      </c>
      <c r="T178" s="5" t="s">
        <v>319</v>
      </c>
      <c r="U178" t="str">
        <f>IF(COUNTIF(A:A, A178)&gt;=3, "Yes", "No")</f>
        <v>No</v>
      </c>
    </row>
    <row r="179" spans="1:21" x14ac:dyDescent="0.3">
      <c r="A179" s="5">
        <v>250</v>
      </c>
      <c r="B179" s="5" t="s">
        <v>697</v>
      </c>
      <c r="C179" s="5" t="s">
        <v>686</v>
      </c>
      <c r="D179" s="5" t="s">
        <v>698</v>
      </c>
      <c r="E179" s="5">
        <v>97333</v>
      </c>
      <c r="F179" s="6">
        <f t="shared" si="8"/>
        <v>0.4571148129188603</v>
      </c>
      <c r="G179" s="5" t="s">
        <v>316</v>
      </c>
      <c r="H179" s="5">
        <v>333001</v>
      </c>
      <c r="I179" s="5">
        <v>212929</v>
      </c>
      <c r="J179" s="5">
        <v>17644</v>
      </c>
      <c r="K179" s="6">
        <f t="shared" si="5"/>
        <v>8.2863301851790971E-2</v>
      </c>
      <c r="L179" s="6">
        <f t="shared" si="6"/>
        <v>0.63942450623271396</v>
      </c>
      <c r="M179" s="5" t="s">
        <v>699</v>
      </c>
      <c r="N179" s="5">
        <v>22651</v>
      </c>
      <c r="O179" s="6">
        <f t="shared" si="9"/>
        <v>0.10637818239882778</v>
      </c>
      <c r="P179" s="5" t="s">
        <v>465</v>
      </c>
      <c r="Q179" s="5">
        <v>18760</v>
      </c>
      <c r="R179" s="6">
        <f t="shared" si="7"/>
        <v>8.8104485532736268E-2</v>
      </c>
      <c r="S179" t="s">
        <v>18</v>
      </c>
      <c r="T179" s="5" t="s">
        <v>319</v>
      </c>
      <c r="U179" t="str">
        <f>IF(COUNTIF(A:A, A179)&gt;=3, "Yes", "No")</f>
        <v>No</v>
      </c>
    </row>
    <row r="180" spans="1:21" x14ac:dyDescent="0.3">
      <c r="A180" s="5">
        <v>258</v>
      </c>
      <c r="B180" s="5" t="s">
        <v>703</v>
      </c>
      <c r="C180" s="5" t="s">
        <v>704</v>
      </c>
      <c r="D180" s="5" t="s">
        <v>705</v>
      </c>
      <c r="E180" s="5">
        <v>75708</v>
      </c>
      <c r="F180" s="6">
        <f t="shared" si="8"/>
        <v>0.34528554879550494</v>
      </c>
      <c r="G180" s="5" t="s">
        <v>316</v>
      </c>
      <c r="H180" s="5">
        <v>311738</v>
      </c>
      <c r="I180" s="5">
        <v>219262</v>
      </c>
      <c r="J180" s="5">
        <v>23351</v>
      </c>
      <c r="K180" s="6">
        <f t="shared" si="5"/>
        <v>0.10649816201621803</v>
      </c>
      <c r="L180" s="6">
        <f t="shared" si="6"/>
        <v>0.70335345706971886</v>
      </c>
      <c r="M180" s="5" t="s">
        <v>706</v>
      </c>
      <c r="N180" s="5">
        <v>35562</v>
      </c>
      <c r="O180" s="6">
        <f t="shared" si="9"/>
        <v>0.1621895266849705</v>
      </c>
      <c r="P180" s="5" t="s">
        <v>341</v>
      </c>
      <c r="Q180" s="5">
        <v>4530</v>
      </c>
      <c r="R180" s="6">
        <f t="shared" si="7"/>
        <v>2.066021472028897E-2</v>
      </c>
      <c r="S180" t="s">
        <v>18</v>
      </c>
      <c r="T180" s="5" t="s">
        <v>319</v>
      </c>
      <c r="U180" t="str">
        <f>IF(COUNTIF(A:A, A180)&gt;=3, "Yes", "No")</f>
        <v>No</v>
      </c>
    </row>
    <row r="181" spans="1:21" x14ac:dyDescent="0.3">
      <c r="A181" s="5">
        <v>259</v>
      </c>
      <c r="B181" s="5" t="s">
        <v>707</v>
      </c>
      <c r="C181" s="5" t="s">
        <v>704</v>
      </c>
      <c r="D181" s="5" t="s">
        <v>708</v>
      </c>
      <c r="E181" s="5">
        <v>78324</v>
      </c>
      <c r="F181" s="6">
        <f t="shared" si="8"/>
        <v>0.41122300043052301</v>
      </c>
      <c r="G181" s="5" t="s">
        <v>341</v>
      </c>
      <c r="H181" s="5">
        <v>277663</v>
      </c>
      <c r="I181" s="5">
        <v>190466</v>
      </c>
      <c r="J181" s="5">
        <v>20507</v>
      </c>
      <c r="K181" s="6">
        <f t="shared" si="5"/>
        <v>0.10766751021179632</v>
      </c>
      <c r="L181" s="6">
        <f t="shared" si="6"/>
        <v>0.68596103910135664</v>
      </c>
      <c r="M181" s="5" t="s">
        <v>709</v>
      </c>
      <c r="N181" s="5">
        <v>43903</v>
      </c>
      <c r="O181" s="6">
        <f t="shared" si="9"/>
        <v>0.23050308191488245</v>
      </c>
      <c r="P181" s="5" t="s">
        <v>710</v>
      </c>
      <c r="Q181" s="5">
        <v>38246</v>
      </c>
      <c r="R181" s="6">
        <f t="shared" si="7"/>
        <v>0.20080224291999621</v>
      </c>
      <c r="S181" t="s">
        <v>18</v>
      </c>
      <c r="T181" s="5" t="s">
        <v>319</v>
      </c>
      <c r="U181" t="str">
        <f>IF(COUNTIF(A:A, A181)&gt;=3, "Yes", "No")</f>
        <v>No</v>
      </c>
    </row>
    <row r="182" spans="1:21" x14ac:dyDescent="0.3">
      <c r="A182" s="5">
        <v>260</v>
      </c>
      <c r="B182" s="5" t="s">
        <v>711</v>
      </c>
      <c r="C182" s="5" t="s">
        <v>704</v>
      </c>
      <c r="D182" s="5" t="s">
        <v>712</v>
      </c>
      <c r="E182" s="5">
        <v>76831</v>
      </c>
      <c r="F182" s="6">
        <f t="shared" si="8"/>
        <v>0.37957729778866867</v>
      </c>
      <c r="G182" s="5" t="s">
        <v>316</v>
      </c>
      <c r="H182" s="5">
        <v>276153</v>
      </c>
      <c r="I182" s="5">
        <v>202412</v>
      </c>
      <c r="J182" s="5">
        <v>16418</v>
      </c>
      <c r="K182" s="6">
        <f t="shared" si="5"/>
        <v>8.1111791791000531E-2</v>
      </c>
      <c r="L182" s="6">
        <f t="shared" si="6"/>
        <v>0.73297049099593337</v>
      </c>
      <c r="M182" s="5" t="s">
        <v>713</v>
      </c>
      <c r="N182" s="5">
        <v>58621</v>
      </c>
      <c r="O182" s="6">
        <f t="shared" si="9"/>
        <v>0.28961227595201866</v>
      </c>
      <c r="P182" s="5" t="s">
        <v>318</v>
      </c>
      <c r="Q182" s="5">
        <v>56248</v>
      </c>
      <c r="R182" s="6">
        <f t="shared" si="7"/>
        <v>0.27788866272750629</v>
      </c>
      <c r="S182" t="s">
        <v>18</v>
      </c>
      <c r="T182" s="5" t="s">
        <v>319</v>
      </c>
      <c r="U182" t="str">
        <f>IF(COUNTIF(A:A, A182)&gt;=3, "Yes", "No")</f>
        <v>No</v>
      </c>
    </row>
    <row r="183" spans="1:21" x14ac:dyDescent="0.3">
      <c r="A183" s="5">
        <v>276</v>
      </c>
      <c r="B183" s="5" t="s">
        <v>716</v>
      </c>
      <c r="C183" s="5" t="s">
        <v>714</v>
      </c>
      <c r="D183" s="5" t="s">
        <v>717</v>
      </c>
      <c r="E183" s="5">
        <v>69736</v>
      </c>
      <c r="F183" s="6">
        <f t="shared" si="8"/>
        <v>0.39724521358708964</v>
      </c>
      <c r="G183" s="5" t="s">
        <v>328</v>
      </c>
      <c r="H183" s="5">
        <v>284785</v>
      </c>
      <c r="I183" s="5">
        <v>175549</v>
      </c>
      <c r="J183" s="5">
        <v>22421</v>
      </c>
      <c r="K183" s="6">
        <f t="shared" si="5"/>
        <v>0.12771932622800472</v>
      </c>
      <c r="L183" s="6">
        <f t="shared" si="6"/>
        <v>0.61642642695366678</v>
      </c>
      <c r="M183" s="5" t="s">
        <v>718</v>
      </c>
      <c r="N183" s="5">
        <v>40104</v>
      </c>
      <c r="O183" s="6">
        <f t="shared" si="9"/>
        <v>0.22844903702100269</v>
      </c>
      <c r="P183" s="5" t="s">
        <v>318</v>
      </c>
      <c r="Q183" s="5">
        <v>30217</v>
      </c>
      <c r="R183" s="6">
        <f t="shared" si="7"/>
        <v>0.17212857948493013</v>
      </c>
      <c r="S183" t="s">
        <v>18</v>
      </c>
      <c r="T183" s="5" t="s">
        <v>319</v>
      </c>
      <c r="U183" t="str">
        <f>IF(COUNTIF(A:A, A183)&gt;=3, "Yes", "No")</f>
        <v>No</v>
      </c>
    </row>
    <row r="184" spans="1:21" x14ac:dyDescent="0.3">
      <c r="A184" s="5">
        <v>278</v>
      </c>
      <c r="B184" s="5" t="s">
        <v>719</v>
      </c>
      <c r="C184" s="5" t="s">
        <v>714</v>
      </c>
      <c r="D184" s="5" t="s">
        <v>720</v>
      </c>
      <c r="E184" s="5">
        <v>89087</v>
      </c>
      <c r="F184" s="6">
        <f t="shared" si="8"/>
        <v>0.3980723516059268</v>
      </c>
      <c r="G184" s="5" t="s">
        <v>328</v>
      </c>
      <c r="H184" s="5">
        <v>303007</v>
      </c>
      <c r="I184" s="5">
        <v>223796</v>
      </c>
      <c r="J184" s="5">
        <v>29370</v>
      </c>
      <c r="K184" s="6">
        <f t="shared" si="5"/>
        <v>0.1312355895547731</v>
      </c>
      <c r="L184" s="6">
        <f t="shared" si="6"/>
        <v>0.73858359707861532</v>
      </c>
      <c r="M184" s="5" t="s">
        <v>721</v>
      </c>
      <c r="N184" s="5">
        <v>32874</v>
      </c>
      <c r="O184" s="6">
        <f t="shared" si="9"/>
        <v>0.14689270585711989</v>
      </c>
      <c r="P184" s="5" t="s">
        <v>722</v>
      </c>
      <c r="Q184" s="5">
        <v>11556</v>
      </c>
      <c r="R184" s="6">
        <f t="shared" si="7"/>
        <v>5.1636311640958728E-2</v>
      </c>
      <c r="S184" t="s">
        <v>18</v>
      </c>
      <c r="T184" s="5" t="s">
        <v>319</v>
      </c>
      <c r="U184" t="str">
        <f>IF(COUNTIF(A:A, A184)&gt;=3, "Yes", "No")</f>
        <v>No</v>
      </c>
    </row>
    <row r="185" spans="1:21" x14ac:dyDescent="0.3">
      <c r="A185" s="5">
        <v>280</v>
      </c>
      <c r="B185" s="5" t="s">
        <v>310</v>
      </c>
      <c r="C185" s="5" t="s">
        <v>714</v>
      </c>
      <c r="D185" s="5" t="s">
        <v>723</v>
      </c>
      <c r="E185" s="5">
        <v>70809</v>
      </c>
      <c r="F185" s="6">
        <f t="shared" si="8"/>
        <v>0.31381264929689195</v>
      </c>
      <c r="G185" s="5" t="s">
        <v>328</v>
      </c>
      <c r="H185" s="5">
        <v>288630</v>
      </c>
      <c r="I185" s="5">
        <v>225641</v>
      </c>
      <c r="J185" s="5">
        <v>20033</v>
      </c>
      <c r="K185" s="6">
        <f t="shared" si="5"/>
        <v>8.8782623725298146E-2</v>
      </c>
      <c r="L185" s="6">
        <f t="shared" si="6"/>
        <v>0.78176558223330905</v>
      </c>
      <c r="M185" s="5" t="s">
        <v>724</v>
      </c>
      <c r="N185" s="5">
        <v>48511</v>
      </c>
      <c r="O185" s="6">
        <f t="shared" si="9"/>
        <v>0.21499195624908593</v>
      </c>
      <c r="P185" s="5" t="s">
        <v>710</v>
      </c>
      <c r="Q185" s="5">
        <v>445</v>
      </c>
      <c r="R185" s="6">
        <f t="shared" si="7"/>
        <v>1.9721593150181039E-3</v>
      </c>
      <c r="S185" t="s">
        <v>18</v>
      </c>
      <c r="T185" s="5" t="s">
        <v>319</v>
      </c>
      <c r="U185" t="str">
        <f>IF(COUNTIF(A:A, A185)&gt;=3, "Yes", "No")</f>
        <v>Yes</v>
      </c>
    </row>
    <row r="186" spans="1:21" x14ac:dyDescent="0.3">
      <c r="A186" s="5">
        <v>282</v>
      </c>
      <c r="B186" s="5" t="s">
        <v>727</v>
      </c>
      <c r="C186" s="5" t="s">
        <v>728</v>
      </c>
      <c r="D186" s="5" t="s">
        <v>729</v>
      </c>
      <c r="E186" s="5">
        <v>80497</v>
      </c>
      <c r="F186" s="6">
        <f t="shared" si="8"/>
        <v>0.41181466114831505</v>
      </c>
      <c r="G186" s="5" t="s">
        <v>318</v>
      </c>
      <c r="H186" s="5">
        <v>328663</v>
      </c>
      <c r="I186" s="5">
        <v>195469</v>
      </c>
      <c r="J186" s="5">
        <v>14457</v>
      </c>
      <c r="K186" s="6">
        <f t="shared" si="5"/>
        <v>7.3960576868966441E-2</v>
      </c>
      <c r="L186" s="6">
        <f t="shared" si="6"/>
        <v>0.59473990074939986</v>
      </c>
      <c r="M186" s="5" t="s">
        <v>730</v>
      </c>
      <c r="N186" s="5">
        <v>34635</v>
      </c>
      <c r="O186" s="6">
        <f t="shared" si="9"/>
        <v>0.1771892218203398</v>
      </c>
      <c r="P186" s="5" t="s">
        <v>328</v>
      </c>
      <c r="Q186" s="5">
        <v>29917</v>
      </c>
      <c r="R186" s="6">
        <f t="shared" si="7"/>
        <v>0.15305240217118826</v>
      </c>
      <c r="S186" t="s">
        <v>18</v>
      </c>
      <c r="T186" s="5" t="s">
        <v>319</v>
      </c>
      <c r="U186" t="str">
        <f>IF(COUNTIF(A:A, A186)&gt;=3, "Yes", "No")</f>
        <v>No</v>
      </c>
    </row>
    <row r="187" spans="1:21" x14ac:dyDescent="0.3">
      <c r="A187" s="5">
        <v>286</v>
      </c>
      <c r="B187" s="5" t="s">
        <v>734</v>
      </c>
      <c r="C187" s="5" t="s">
        <v>728</v>
      </c>
      <c r="D187" s="5" t="s">
        <v>735</v>
      </c>
      <c r="E187" s="5">
        <v>72849</v>
      </c>
      <c r="F187" s="6">
        <f t="shared" si="8"/>
        <v>0.33426632467180883</v>
      </c>
      <c r="G187" s="5" t="s">
        <v>328</v>
      </c>
      <c r="H187" s="5">
        <v>297271</v>
      </c>
      <c r="I187" s="5">
        <v>217937</v>
      </c>
      <c r="J187" s="5">
        <v>19797</v>
      </c>
      <c r="K187" s="6">
        <f t="shared" si="5"/>
        <v>9.0838178005570411E-2</v>
      </c>
      <c r="L187" s="6">
        <f t="shared" si="6"/>
        <v>0.73312566647940769</v>
      </c>
      <c r="M187" s="5" t="s">
        <v>736</v>
      </c>
      <c r="N187" s="5">
        <v>44419</v>
      </c>
      <c r="O187" s="6">
        <f t="shared" si="9"/>
        <v>0.20381578162496503</v>
      </c>
      <c r="P187" s="5" t="s">
        <v>318</v>
      </c>
      <c r="Q187" s="5">
        <v>4694</v>
      </c>
      <c r="R187" s="6">
        <f t="shared" si="7"/>
        <v>2.1538334472806363E-2</v>
      </c>
      <c r="S187" t="s">
        <v>18</v>
      </c>
      <c r="T187" s="5" t="s">
        <v>319</v>
      </c>
      <c r="U187" t="str">
        <f>IF(COUNTIF(A:A, A187)&gt;=3, "Yes", "No")</f>
        <v>No</v>
      </c>
    </row>
    <row r="188" spans="1:21" x14ac:dyDescent="0.3">
      <c r="A188" s="5">
        <v>288</v>
      </c>
      <c r="B188" s="5" t="s">
        <v>737</v>
      </c>
      <c r="C188" s="5" t="s">
        <v>728</v>
      </c>
      <c r="D188" s="5" t="s">
        <v>738</v>
      </c>
      <c r="E188" s="5">
        <v>72885</v>
      </c>
      <c r="F188" s="6">
        <f t="shared" si="8"/>
        <v>0.43097127449473149</v>
      </c>
      <c r="G188" s="5" t="s">
        <v>318</v>
      </c>
      <c r="H188" s="5">
        <v>249286</v>
      </c>
      <c r="I188" s="5">
        <v>169118</v>
      </c>
      <c r="J188" s="5">
        <v>17698</v>
      </c>
      <c r="K188" s="6">
        <f t="shared" si="5"/>
        <v>0.10464882508071288</v>
      </c>
      <c r="L188" s="6">
        <f t="shared" si="6"/>
        <v>0.67840953763949841</v>
      </c>
      <c r="M188" s="5" t="s">
        <v>739</v>
      </c>
      <c r="N188" s="5">
        <v>30130</v>
      </c>
      <c r="O188" s="6">
        <f t="shared" si="9"/>
        <v>0.17815962818860204</v>
      </c>
      <c r="P188" s="5" t="s">
        <v>341</v>
      </c>
      <c r="Q188" s="5">
        <v>27716</v>
      </c>
      <c r="R188" s="6">
        <f t="shared" si="7"/>
        <v>0.16388557102141699</v>
      </c>
      <c r="S188" t="s">
        <v>18</v>
      </c>
      <c r="T188" s="5" t="s">
        <v>319</v>
      </c>
      <c r="U188" t="str">
        <f>IF(COUNTIF(A:A, A188)&gt;=3, "Yes", "No")</f>
        <v>No</v>
      </c>
    </row>
    <row r="189" spans="1:21" x14ac:dyDescent="0.3">
      <c r="A189" s="5">
        <v>4</v>
      </c>
      <c r="B189" s="5" t="s">
        <v>320</v>
      </c>
      <c r="C189" s="5" t="s">
        <v>314</v>
      </c>
      <c r="D189" s="5" t="s">
        <v>321</v>
      </c>
      <c r="E189" s="5">
        <v>74652</v>
      </c>
      <c r="F189" s="6">
        <f t="shared" si="8"/>
        <v>0.34297055539986127</v>
      </c>
      <c r="G189" s="5" t="s">
        <v>316</v>
      </c>
      <c r="H189" s="5">
        <v>287977</v>
      </c>
      <c r="I189" s="5">
        <v>217663</v>
      </c>
      <c r="J189" s="5">
        <v>11335</v>
      </c>
      <c r="K189" s="6">
        <f t="shared" si="5"/>
        <v>5.2075915520782126E-2</v>
      </c>
      <c r="L189" s="6">
        <f t="shared" si="6"/>
        <v>0.75583466735190663</v>
      </c>
      <c r="M189" s="5" t="s">
        <v>322</v>
      </c>
      <c r="N189" s="5">
        <v>58579</v>
      </c>
      <c r="O189" s="6">
        <f t="shared" si="9"/>
        <v>0.26912704501913509</v>
      </c>
      <c r="P189" s="5" t="s">
        <v>318</v>
      </c>
      <c r="Q189" s="5">
        <v>52570</v>
      </c>
      <c r="R189" s="6">
        <f t="shared" si="7"/>
        <v>0.24152014811888103</v>
      </c>
      <c r="S189" t="s">
        <v>18</v>
      </c>
      <c r="T189" s="5" t="s">
        <v>323</v>
      </c>
      <c r="U189" t="str">
        <f>IF(COUNTIF(A:A, A189)&gt;=3, "Yes", "No")</f>
        <v>No</v>
      </c>
    </row>
    <row r="190" spans="1:21" x14ac:dyDescent="0.3">
      <c r="A190" s="5">
        <v>10</v>
      </c>
      <c r="B190" s="5" t="s">
        <v>332</v>
      </c>
      <c r="C190" s="5" t="s">
        <v>333</v>
      </c>
      <c r="D190" s="5" t="s">
        <v>336</v>
      </c>
      <c r="E190" s="5">
        <v>78137</v>
      </c>
      <c r="F190" s="6">
        <f t="shared" si="8"/>
        <v>0.39182521136507237</v>
      </c>
      <c r="G190" s="5" t="s">
        <v>328</v>
      </c>
      <c r="H190" s="5">
        <v>308441</v>
      </c>
      <c r="I190" s="5">
        <v>199418</v>
      </c>
      <c r="J190" s="5">
        <v>20529</v>
      </c>
      <c r="K190" s="6">
        <f t="shared" si="5"/>
        <v>0.10294456869490216</v>
      </c>
      <c r="L190" s="6">
        <f t="shared" si="6"/>
        <v>0.64653531793762831</v>
      </c>
      <c r="M190" s="5" t="s">
        <v>337</v>
      </c>
      <c r="N190" s="5">
        <v>32459</v>
      </c>
      <c r="O190" s="6">
        <f t="shared" si="9"/>
        <v>0.16276865679126257</v>
      </c>
      <c r="P190" s="5" t="s">
        <v>338</v>
      </c>
      <c r="Q190" s="5">
        <v>15374</v>
      </c>
      <c r="R190" s="6">
        <f t="shared" si="7"/>
        <v>7.7094344542619028E-2</v>
      </c>
      <c r="S190" t="s">
        <v>18</v>
      </c>
      <c r="T190" s="5" t="s">
        <v>323</v>
      </c>
      <c r="U190" t="str">
        <f>IF(COUNTIF(A:A, A190)&gt;=3, "Yes", "No")</f>
        <v>Yes</v>
      </c>
    </row>
    <row r="191" spans="1:21" x14ac:dyDescent="0.3">
      <c r="A191" s="5">
        <v>11</v>
      </c>
      <c r="B191" s="5" t="s">
        <v>24</v>
      </c>
      <c r="C191" s="5" t="s">
        <v>333</v>
      </c>
      <c r="D191" s="5" t="s">
        <v>342</v>
      </c>
      <c r="E191" s="5">
        <v>77941</v>
      </c>
      <c r="F191" s="6">
        <f t="shared" si="8"/>
        <v>0.38319829298511277</v>
      </c>
      <c r="G191" s="5" t="s">
        <v>316</v>
      </c>
      <c r="H191" s="5">
        <v>293382</v>
      </c>
      <c r="I191" s="5">
        <v>203396</v>
      </c>
      <c r="J191" s="5">
        <v>15609</v>
      </c>
      <c r="K191" s="6">
        <f t="shared" si="5"/>
        <v>7.6741922161694426E-2</v>
      </c>
      <c r="L191" s="6">
        <f t="shared" si="6"/>
        <v>0.69328043301906728</v>
      </c>
      <c r="M191" s="5" t="s">
        <v>343</v>
      </c>
      <c r="N191" s="5">
        <v>44841</v>
      </c>
      <c r="O191" s="6">
        <f t="shared" si="9"/>
        <v>0.22046156266593248</v>
      </c>
      <c r="P191" s="5" t="s">
        <v>338</v>
      </c>
      <c r="Q191" s="5">
        <v>38134</v>
      </c>
      <c r="R191" s="6">
        <f t="shared" si="7"/>
        <v>0.18748647957678616</v>
      </c>
      <c r="S191" t="s">
        <v>18</v>
      </c>
      <c r="T191" s="5" t="s">
        <v>323</v>
      </c>
      <c r="U191" t="str">
        <f>IF(COUNTIF(A:A, A191)&gt;=3, "Yes", "No")</f>
        <v>Yes</v>
      </c>
    </row>
    <row r="192" spans="1:21" x14ac:dyDescent="0.3">
      <c r="A192" s="5">
        <v>16</v>
      </c>
      <c r="B192" s="5" t="s">
        <v>349</v>
      </c>
      <c r="C192" s="5" t="s">
        <v>333</v>
      </c>
      <c r="D192" s="5" t="s">
        <v>350</v>
      </c>
      <c r="E192" s="5">
        <v>82650</v>
      </c>
      <c r="F192" s="6">
        <f t="shared" si="8"/>
        <v>0.46334968465311843</v>
      </c>
      <c r="G192" s="5" t="s">
        <v>328</v>
      </c>
      <c r="H192" s="5">
        <v>280441</v>
      </c>
      <c r="I192" s="5">
        <v>178375</v>
      </c>
      <c r="J192" s="5">
        <v>18002</v>
      </c>
      <c r="K192" s="6">
        <f t="shared" si="5"/>
        <v>0.10092221443587947</v>
      </c>
      <c r="L192" s="6">
        <f t="shared" si="6"/>
        <v>0.63605178985954269</v>
      </c>
      <c r="M192" s="5" t="s">
        <v>351</v>
      </c>
      <c r="N192" s="5">
        <v>24587</v>
      </c>
      <c r="O192" s="6">
        <f t="shared" si="9"/>
        <v>0.13783882270497547</v>
      </c>
      <c r="P192" s="5" t="s">
        <v>338</v>
      </c>
      <c r="Q192" s="5">
        <v>22284</v>
      </c>
      <c r="R192" s="6">
        <f t="shared" si="7"/>
        <v>0.12492782060266293</v>
      </c>
      <c r="S192" t="s">
        <v>18</v>
      </c>
      <c r="T192" s="5" t="s">
        <v>323</v>
      </c>
      <c r="U192" t="str">
        <f>IF(COUNTIF(A:A, A192)&gt;=3, "Yes", "No")</f>
        <v>No</v>
      </c>
    </row>
    <row r="193" spans="1:21" x14ac:dyDescent="0.3">
      <c r="A193" s="5">
        <v>22</v>
      </c>
      <c r="B193" s="5" t="s">
        <v>355</v>
      </c>
      <c r="C193" s="5" t="s">
        <v>356</v>
      </c>
      <c r="D193" s="5" t="s">
        <v>359</v>
      </c>
      <c r="E193" s="5">
        <v>67785</v>
      </c>
      <c r="F193" s="6">
        <f t="shared" si="8"/>
        <v>0.37826873067779776</v>
      </c>
      <c r="G193" s="5" t="s">
        <v>328</v>
      </c>
      <c r="H193" s="5">
        <v>306272</v>
      </c>
      <c r="I193" s="5">
        <v>179198</v>
      </c>
      <c r="J193" s="5">
        <v>26075</v>
      </c>
      <c r="K193" s="6">
        <f t="shared" si="5"/>
        <v>0.14550943648924652</v>
      </c>
      <c r="L193" s="6">
        <f t="shared" si="6"/>
        <v>0.58509429526695222</v>
      </c>
      <c r="M193" s="5" t="s">
        <v>360</v>
      </c>
      <c r="N193" s="5">
        <v>31316</v>
      </c>
      <c r="O193" s="6">
        <f t="shared" si="9"/>
        <v>0.17475641469212827</v>
      </c>
      <c r="P193" s="5" t="s">
        <v>316</v>
      </c>
      <c r="Q193" s="5">
        <v>1373</v>
      </c>
      <c r="R193" s="6">
        <f t="shared" si="7"/>
        <v>7.6619158695967592E-3</v>
      </c>
      <c r="S193" t="s">
        <v>18</v>
      </c>
      <c r="T193" s="5" t="s">
        <v>323</v>
      </c>
      <c r="U193" t="str">
        <f>IF(COUNTIF(A:A, A193)&gt;=3, "Yes", "No")</f>
        <v>No</v>
      </c>
    </row>
    <row r="194" spans="1:21" x14ac:dyDescent="0.3">
      <c r="A194" s="5">
        <v>26</v>
      </c>
      <c r="B194" s="5" t="s">
        <v>366</v>
      </c>
      <c r="C194" s="5" t="s">
        <v>356</v>
      </c>
      <c r="D194" s="5" t="s">
        <v>367</v>
      </c>
      <c r="E194" s="5">
        <v>90757</v>
      </c>
      <c r="F194" s="6">
        <f t="shared" si="8"/>
        <v>0.45797316459017717</v>
      </c>
      <c r="G194" s="5" t="s">
        <v>318</v>
      </c>
      <c r="H194" s="5">
        <v>280436</v>
      </c>
      <c r="I194" s="5">
        <v>198171</v>
      </c>
      <c r="J194" s="5">
        <v>16968</v>
      </c>
      <c r="K194" s="6">
        <f t="shared" si="5"/>
        <v>8.562302254113871E-2</v>
      </c>
      <c r="L194" s="6">
        <f t="shared" si="6"/>
        <v>0.70665321142791937</v>
      </c>
      <c r="M194" s="5" t="s">
        <v>368</v>
      </c>
      <c r="N194" s="5">
        <v>25957</v>
      </c>
      <c r="O194" s="6">
        <f t="shared" si="9"/>
        <v>0.13098283805400388</v>
      </c>
      <c r="P194" s="5" t="s">
        <v>369</v>
      </c>
      <c r="Q194" s="5">
        <v>24084</v>
      </c>
      <c r="R194" s="6">
        <f t="shared" si="7"/>
        <v>0.12153140469594441</v>
      </c>
      <c r="S194" t="s">
        <v>18</v>
      </c>
      <c r="T194" s="5" t="s">
        <v>323</v>
      </c>
      <c r="U194" t="str">
        <f>IF(COUNTIF(A:A, A194)&gt;=3, "Yes", "No")</f>
        <v>No</v>
      </c>
    </row>
    <row r="195" spans="1:21" x14ac:dyDescent="0.3">
      <c r="A195" s="5">
        <v>29</v>
      </c>
      <c r="B195" s="5" t="s">
        <v>375</v>
      </c>
      <c r="C195" s="5" t="s">
        <v>371</v>
      </c>
      <c r="D195" s="5" t="s">
        <v>376</v>
      </c>
      <c r="E195" s="5">
        <v>69343</v>
      </c>
      <c r="F195" s="6">
        <f t="shared" si="8"/>
        <v>0.35479909743505778</v>
      </c>
      <c r="G195" s="5" t="s">
        <v>328</v>
      </c>
      <c r="H195" s="5">
        <v>295885</v>
      </c>
      <c r="I195" s="5">
        <v>195443</v>
      </c>
      <c r="J195" s="5">
        <v>18788</v>
      </c>
      <c r="K195" s="6">
        <f t="shared" si="5"/>
        <v>9.6130329559001859E-2</v>
      </c>
      <c r="L195" s="6">
        <f t="shared" si="6"/>
        <v>0.66053703296888999</v>
      </c>
      <c r="M195" s="5" t="s">
        <v>377</v>
      </c>
      <c r="N195" s="5">
        <v>44507</v>
      </c>
      <c r="O195" s="6">
        <f t="shared" si="9"/>
        <v>0.22772368414320288</v>
      </c>
      <c r="P195" s="5" t="s">
        <v>378</v>
      </c>
      <c r="Q195" s="5">
        <v>28010</v>
      </c>
      <c r="R195" s="6">
        <f t="shared" si="7"/>
        <v>0.14331544235403673</v>
      </c>
      <c r="S195" t="s">
        <v>18</v>
      </c>
      <c r="T195" s="5" t="s">
        <v>323</v>
      </c>
      <c r="U195" t="str">
        <f>IF(COUNTIF(A:A, A195)&gt;=3, "Yes", "No")</f>
        <v>No</v>
      </c>
    </row>
    <row r="196" spans="1:21" x14ac:dyDescent="0.3">
      <c r="A196" s="5">
        <v>34</v>
      </c>
      <c r="B196" s="5" t="s">
        <v>386</v>
      </c>
      <c r="C196" s="5" t="s">
        <v>383</v>
      </c>
      <c r="D196" s="5" t="s">
        <v>387</v>
      </c>
      <c r="E196" s="5">
        <v>66159</v>
      </c>
      <c r="F196" s="6">
        <f t="shared" si="8"/>
        <v>0.32002147697755073</v>
      </c>
      <c r="G196" s="5" t="s">
        <v>318</v>
      </c>
      <c r="H196" s="5">
        <v>349279</v>
      </c>
      <c r="I196" s="5">
        <v>206733</v>
      </c>
      <c r="J196" s="5">
        <v>13695</v>
      </c>
      <c r="K196" s="6">
        <f t="shared" si="5"/>
        <v>6.6244866567021235E-2</v>
      </c>
      <c r="L196" s="6">
        <f t="shared" si="6"/>
        <v>0.59188499738031775</v>
      </c>
      <c r="M196" s="5" t="s">
        <v>388</v>
      </c>
      <c r="N196" s="5">
        <v>45407</v>
      </c>
      <c r="O196" s="6">
        <f t="shared" si="9"/>
        <v>0.21964079271330653</v>
      </c>
      <c r="P196" s="5" t="s">
        <v>338</v>
      </c>
      <c r="Q196" s="5">
        <v>14691</v>
      </c>
      <c r="R196" s="6">
        <f t="shared" si="7"/>
        <v>7.106267504462277E-2</v>
      </c>
      <c r="S196" t="s">
        <v>18</v>
      </c>
      <c r="T196" s="5" t="s">
        <v>323</v>
      </c>
      <c r="U196" t="str">
        <f>IF(COUNTIF(A:A, A196)&gt;=3, "Yes", "No")</f>
        <v>No</v>
      </c>
    </row>
    <row r="197" spans="1:21" x14ac:dyDescent="0.3">
      <c r="A197" s="5">
        <v>35</v>
      </c>
      <c r="B197" s="5" t="s">
        <v>47</v>
      </c>
      <c r="C197" s="5" t="s">
        <v>383</v>
      </c>
      <c r="D197" s="5" t="s">
        <v>389</v>
      </c>
      <c r="E197" s="5">
        <v>73205</v>
      </c>
      <c r="F197" s="6">
        <f t="shared" si="8"/>
        <v>0.39285292633974089</v>
      </c>
      <c r="G197" s="5" t="s">
        <v>318</v>
      </c>
      <c r="H197" s="5">
        <v>301654</v>
      </c>
      <c r="I197" s="5">
        <v>186342</v>
      </c>
      <c r="J197" s="5">
        <v>22724</v>
      </c>
      <c r="K197" s="6">
        <f t="shared" si="5"/>
        <v>0.12194781638063346</v>
      </c>
      <c r="L197" s="6">
        <f t="shared" si="6"/>
        <v>0.61773422530448796</v>
      </c>
      <c r="M197" s="5" t="s">
        <v>390</v>
      </c>
      <c r="N197" s="5">
        <v>41907</v>
      </c>
      <c r="O197" s="6">
        <f t="shared" si="9"/>
        <v>0.22489293878996683</v>
      </c>
      <c r="P197" s="5" t="s">
        <v>391</v>
      </c>
      <c r="Q197" s="5">
        <v>29414</v>
      </c>
      <c r="R197" s="6">
        <f t="shared" si="7"/>
        <v>0.15784954545942406</v>
      </c>
      <c r="S197" t="s">
        <v>18</v>
      </c>
      <c r="T197" s="5" t="s">
        <v>323</v>
      </c>
      <c r="U197" t="str">
        <f>IF(COUNTIF(A:A, A197)&gt;=3, "Yes", "No")</f>
        <v>No</v>
      </c>
    </row>
    <row r="198" spans="1:21" x14ac:dyDescent="0.3">
      <c r="A198" s="5">
        <v>39</v>
      </c>
      <c r="B198" s="5" t="s">
        <v>392</v>
      </c>
      <c r="C198" s="5" t="s">
        <v>393</v>
      </c>
      <c r="D198" s="5" t="s">
        <v>396</v>
      </c>
      <c r="E198" s="5">
        <v>76218</v>
      </c>
      <c r="F198" s="6">
        <f t="shared" si="8"/>
        <v>0.43885165480549987</v>
      </c>
      <c r="G198" s="5" t="s">
        <v>316</v>
      </c>
      <c r="H198" s="5">
        <v>295992</v>
      </c>
      <c r="I198" s="5">
        <v>173676</v>
      </c>
      <c r="J198" s="5">
        <v>10361</v>
      </c>
      <c r="K198" s="6">
        <f t="shared" si="5"/>
        <v>5.9657062576291484E-2</v>
      </c>
      <c r="L198" s="6">
        <f t="shared" si="6"/>
        <v>0.58675910159734046</v>
      </c>
      <c r="M198" s="5" t="s">
        <v>397</v>
      </c>
      <c r="N198" s="5">
        <v>14353</v>
      </c>
      <c r="O198" s="6">
        <f t="shared" si="9"/>
        <v>8.2642391579723168E-2</v>
      </c>
      <c r="P198" s="5" t="s">
        <v>369</v>
      </c>
      <c r="Q198" s="5">
        <v>3755</v>
      </c>
      <c r="R198" s="6">
        <f t="shared" si="7"/>
        <v>2.1620719040051591E-2</v>
      </c>
      <c r="S198" t="s">
        <v>18</v>
      </c>
      <c r="T198" s="5" t="s">
        <v>323</v>
      </c>
      <c r="U198" t="str">
        <f>IF(COUNTIF(A:A, A198)&gt;=3, "Yes", "No")</f>
        <v>No</v>
      </c>
    </row>
    <row r="199" spans="1:21" x14ac:dyDescent="0.3">
      <c r="A199" s="5">
        <v>51</v>
      </c>
      <c r="B199" s="5" t="s">
        <v>407</v>
      </c>
      <c r="C199" s="5" t="s">
        <v>408</v>
      </c>
      <c r="D199" s="5" t="s">
        <v>409</v>
      </c>
      <c r="E199" s="5">
        <v>91968</v>
      </c>
      <c r="F199" s="6">
        <f t="shared" si="8"/>
        <v>0.46528852867073428</v>
      </c>
      <c r="G199" s="5" t="s">
        <v>316</v>
      </c>
      <c r="H199" s="5">
        <v>284768</v>
      </c>
      <c r="I199" s="5">
        <v>197658</v>
      </c>
      <c r="J199" s="5">
        <v>18029</v>
      </c>
      <c r="K199" s="6">
        <f t="shared" si="5"/>
        <v>9.1213105464995087E-2</v>
      </c>
      <c r="L199" s="6">
        <f t="shared" si="6"/>
        <v>0.69410186537813234</v>
      </c>
      <c r="M199" s="5" t="s">
        <v>410</v>
      </c>
      <c r="N199" s="5">
        <v>18567</v>
      </c>
      <c r="O199" s="6">
        <f t="shared" si="9"/>
        <v>9.3934978599398963E-2</v>
      </c>
      <c r="P199" s="5" t="s">
        <v>391</v>
      </c>
      <c r="Q199" s="5">
        <v>12636</v>
      </c>
      <c r="R199" s="6">
        <f t="shared" si="7"/>
        <v>6.3928603952281213E-2</v>
      </c>
      <c r="S199" t="s">
        <v>18</v>
      </c>
      <c r="T199" s="5" t="s">
        <v>323</v>
      </c>
      <c r="U199" t="str">
        <f>IF(COUNTIF(A:A, A199)&gt;=3, "Yes", "No")</f>
        <v>No</v>
      </c>
    </row>
    <row r="200" spans="1:21" x14ac:dyDescent="0.3">
      <c r="A200" s="5">
        <v>57</v>
      </c>
      <c r="B200" s="5" t="s">
        <v>65</v>
      </c>
      <c r="C200" s="5" t="s">
        <v>408</v>
      </c>
      <c r="D200" s="5" t="s">
        <v>412</v>
      </c>
      <c r="E200" s="5">
        <v>86821</v>
      </c>
      <c r="F200" s="6">
        <f t="shared" si="8"/>
        <v>0.44348243611157934</v>
      </c>
      <c r="G200" s="5" t="s">
        <v>316</v>
      </c>
      <c r="H200" s="5">
        <v>384742</v>
      </c>
      <c r="I200" s="5">
        <v>195771</v>
      </c>
      <c r="J200" s="5">
        <v>20694</v>
      </c>
      <c r="K200" s="6">
        <f t="shared" si="5"/>
        <v>0.10570513508129396</v>
      </c>
      <c r="L200" s="6">
        <f t="shared" si="6"/>
        <v>0.50883709082969886</v>
      </c>
      <c r="M200" s="5" t="s">
        <v>413</v>
      </c>
      <c r="N200" s="5">
        <v>23333</v>
      </c>
      <c r="O200" s="6">
        <f t="shared" si="9"/>
        <v>0.11918517042871518</v>
      </c>
      <c r="P200" s="5" t="s">
        <v>391</v>
      </c>
      <c r="Q200" s="5">
        <v>14015</v>
      </c>
      <c r="R200" s="6">
        <f t="shared" si="7"/>
        <v>7.158874399170459E-2</v>
      </c>
      <c r="S200" t="s">
        <v>18</v>
      </c>
      <c r="T200" s="5" t="s">
        <v>323</v>
      </c>
      <c r="U200" t="str">
        <f>IF(COUNTIF(A:A, A200)&gt;=3, "Yes", "No")</f>
        <v>Yes</v>
      </c>
    </row>
    <row r="201" spans="1:21" x14ac:dyDescent="0.3">
      <c r="A201" s="5">
        <v>59</v>
      </c>
      <c r="B201" s="5" t="s">
        <v>414</v>
      </c>
      <c r="C201" s="5" t="s">
        <v>408</v>
      </c>
      <c r="D201" s="5" t="s">
        <v>417</v>
      </c>
      <c r="E201" s="5">
        <v>67419</v>
      </c>
      <c r="F201" s="6">
        <f t="shared" si="8"/>
        <v>0.36535324687992804</v>
      </c>
      <c r="G201" s="5" t="s">
        <v>338</v>
      </c>
      <c r="H201" s="5">
        <v>278654</v>
      </c>
      <c r="I201" s="5">
        <v>184531</v>
      </c>
      <c r="J201" s="5">
        <v>24413</v>
      </c>
      <c r="K201" s="6">
        <f t="shared" si="5"/>
        <v>0.13229755434046311</v>
      </c>
      <c r="L201" s="6">
        <f t="shared" si="6"/>
        <v>0.66222268476318302</v>
      </c>
      <c r="M201" s="5" t="s">
        <v>418</v>
      </c>
      <c r="N201" s="5">
        <v>32497</v>
      </c>
      <c r="O201" s="6">
        <f t="shared" si="9"/>
        <v>0.17610591174382623</v>
      </c>
      <c r="P201" s="5" t="s">
        <v>316</v>
      </c>
      <c r="Q201" s="5">
        <v>7762</v>
      </c>
      <c r="R201" s="6">
        <f t="shared" si="7"/>
        <v>4.2063393142615604E-2</v>
      </c>
      <c r="S201" t="s">
        <v>18</v>
      </c>
      <c r="T201" s="5" t="s">
        <v>323</v>
      </c>
      <c r="U201" t="str">
        <f>IF(COUNTIF(A:A, A201)&gt;=3, "Yes", "No")</f>
        <v>No</v>
      </c>
    </row>
    <row r="202" spans="1:21" x14ac:dyDescent="0.3">
      <c r="A202" s="5">
        <v>64</v>
      </c>
      <c r="B202" s="5" t="s">
        <v>433</v>
      </c>
      <c r="C202" s="5" t="s">
        <v>430</v>
      </c>
      <c r="D202" s="5" t="s">
        <v>436</v>
      </c>
      <c r="E202" s="5">
        <v>76482</v>
      </c>
      <c r="F202" s="6">
        <f t="shared" si="8"/>
        <v>0.45175161398928537</v>
      </c>
      <c r="G202" s="5" t="s">
        <v>318</v>
      </c>
      <c r="H202" s="5">
        <v>257918</v>
      </c>
      <c r="I202" s="5">
        <v>169301</v>
      </c>
      <c r="J202" s="5">
        <v>25963</v>
      </c>
      <c r="K202" s="6">
        <f t="shared" si="5"/>
        <v>0.15335408532731643</v>
      </c>
      <c r="L202" s="6">
        <f t="shared" si="6"/>
        <v>0.6564140540792035</v>
      </c>
      <c r="M202" s="5" t="s">
        <v>437</v>
      </c>
      <c r="N202" s="5">
        <v>33183</v>
      </c>
      <c r="O202" s="6">
        <f t="shared" si="9"/>
        <v>0.19600002362655861</v>
      </c>
      <c r="P202" s="5" t="s">
        <v>338</v>
      </c>
      <c r="Q202" s="5">
        <v>30658</v>
      </c>
      <c r="R202" s="6">
        <f t="shared" si="7"/>
        <v>0.18108575850113112</v>
      </c>
      <c r="S202" t="s">
        <v>18</v>
      </c>
      <c r="T202" s="5" t="s">
        <v>323</v>
      </c>
      <c r="U202" t="str">
        <f>IF(COUNTIF(A:A, A202)&gt;=3, "Yes", "No")</f>
        <v>No</v>
      </c>
    </row>
    <row r="203" spans="1:21" x14ac:dyDescent="0.3">
      <c r="A203" s="5">
        <v>67</v>
      </c>
      <c r="B203" s="5" t="s">
        <v>443</v>
      </c>
      <c r="C203" s="5" t="s">
        <v>444</v>
      </c>
      <c r="D203" s="5" t="s">
        <v>447</v>
      </c>
      <c r="E203" s="5">
        <v>75077</v>
      </c>
      <c r="F203" s="6">
        <f t="shared" si="8"/>
        <v>0.41416994444781569</v>
      </c>
      <c r="G203" s="5" t="s">
        <v>318</v>
      </c>
      <c r="H203" s="5">
        <v>253349</v>
      </c>
      <c r="I203" s="5">
        <v>181271</v>
      </c>
      <c r="J203" s="5">
        <v>21667</v>
      </c>
      <c r="K203" s="6">
        <f t="shared" si="5"/>
        <v>0.11952822017862758</v>
      </c>
      <c r="L203" s="6">
        <f t="shared" si="6"/>
        <v>0.71549917307745448</v>
      </c>
      <c r="M203" s="5" t="s">
        <v>448</v>
      </c>
      <c r="N203" s="5">
        <v>25027</v>
      </c>
      <c r="O203" s="6">
        <f t="shared" si="9"/>
        <v>0.13806400361889104</v>
      </c>
      <c r="P203" s="5" t="s">
        <v>338</v>
      </c>
      <c r="Q203" s="5">
        <v>17462</v>
      </c>
      <c r="R203" s="6">
        <f t="shared" si="7"/>
        <v>9.6330907867226423E-2</v>
      </c>
      <c r="S203" t="s">
        <v>18</v>
      </c>
      <c r="T203" s="5" t="s">
        <v>323</v>
      </c>
      <c r="U203" t="str">
        <f>IF(COUNTIF(A:A, A203)&gt;=3, "Yes", "No")</f>
        <v>No</v>
      </c>
    </row>
    <row r="204" spans="1:21" x14ac:dyDescent="0.3">
      <c r="A204" s="5">
        <v>69</v>
      </c>
      <c r="B204" s="5" t="s">
        <v>449</v>
      </c>
      <c r="C204" s="5" t="s">
        <v>444</v>
      </c>
      <c r="D204" s="5" t="s">
        <v>452</v>
      </c>
      <c r="E204" s="5">
        <v>60013</v>
      </c>
      <c r="F204" s="6">
        <f t="shared" si="8"/>
        <v>0.36074610178049749</v>
      </c>
      <c r="G204" s="5" t="s">
        <v>341</v>
      </c>
      <c r="H204" s="5">
        <v>236478</v>
      </c>
      <c r="I204" s="5">
        <v>166358</v>
      </c>
      <c r="J204" s="5">
        <v>15458</v>
      </c>
      <c r="K204" s="6">
        <f t="shared" si="5"/>
        <v>9.2920088002981516E-2</v>
      </c>
      <c r="L204" s="6">
        <f t="shared" si="6"/>
        <v>0.70348193066585474</v>
      </c>
      <c r="M204" s="5" t="s">
        <v>453</v>
      </c>
      <c r="N204" s="5">
        <v>43022</v>
      </c>
      <c r="O204" s="6">
        <f t="shared" si="9"/>
        <v>0.25861094747472319</v>
      </c>
      <c r="P204" s="5" t="s">
        <v>316</v>
      </c>
      <c r="Q204" s="5">
        <v>37257</v>
      </c>
      <c r="R204" s="6">
        <f t="shared" si="7"/>
        <v>0.22395676793421415</v>
      </c>
      <c r="S204" t="s">
        <v>18</v>
      </c>
      <c r="T204" s="5" t="s">
        <v>323</v>
      </c>
      <c r="U204" t="str">
        <f>IF(COUNTIF(A:A, A204)&gt;=3, "Yes", "No")</f>
        <v>No</v>
      </c>
    </row>
    <row r="205" spans="1:21" x14ac:dyDescent="0.3">
      <c r="A205" s="5">
        <v>72</v>
      </c>
      <c r="B205" s="5" t="s">
        <v>454</v>
      </c>
      <c r="C205" s="5" t="s">
        <v>455</v>
      </c>
      <c r="D205" s="5" t="s">
        <v>456</v>
      </c>
      <c r="E205" s="5">
        <v>86002</v>
      </c>
      <c r="F205" s="6">
        <f t="shared" si="8"/>
        <v>0.42902324653297413</v>
      </c>
      <c r="G205" s="5" t="s">
        <v>318</v>
      </c>
      <c r="H205" s="5">
        <v>321083</v>
      </c>
      <c r="I205" s="5">
        <v>200460</v>
      </c>
      <c r="J205" s="5">
        <v>33240</v>
      </c>
      <c r="K205" s="6">
        <f t="shared" si="5"/>
        <v>0.16581861718048488</v>
      </c>
      <c r="L205" s="6">
        <f t="shared" si="6"/>
        <v>0.62432455159569333</v>
      </c>
      <c r="M205" s="5" t="s">
        <v>457</v>
      </c>
      <c r="N205" s="5">
        <v>39958</v>
      </c>
      <c r="O205" s="6">
        <f t="shared" si="9"/>
        <v>0.1993315374638332</v>
      </c>
      <c r="P205" s="5" t="s">
        <v>369</v>
      </c>
      <c r="Q205" s="5">
        <v>26033</v>
      </c>
      <c r="R205" s="6">
        <f t="shared" si="7"/>
        <v>0.12986630749276665</v>
      </c>
      <c r="S205" t="s">
        <v>18</v>
      </c>
      <c r="T205" s="5" t="s">
        <v>323</v>
      </c>
      <c r="U205" t="str">
        <f>IF(COUNTIF(A:A, A205)&gt;=3, "Yes", "No")</f>
        <v>No</v>
      </c>
    </row>
    <row r="206" spans="1:21" x14ac:dyDescent="0.3">
      <c r="A206" s="5">
        <v>75</v>
      </c>
      <c r="B206" s="5" t="s">
        <v>461</v>
      </c>
      <c r="C206" s="5" t="s">
        <v>462</v>
      </c>
      <c r="D206" s="5" t="s">
        <v>463</v>
      </c>
      <c r="E206" s="5">
        <v>63862</v>
      </c>
      <c r="F206" s="6">
        <f t="shared" si="8"/>
        <v>0.34404141728126364</v>
      </c>
      <c r="G206" s="5" t="s">
        <v>316</v>
      </c>
      <c r="H206" s="5">
        <v>296588</v>
      </c>
      <c r="I206" s="5">
        <v>185623</v>
      </c>
      <c r="J206" s="5">
        <v>10197</v>
      </c>
      <c r="K206" s="6">
        <f t="shared" si="5"/>
        <v>5.4933925214009041E-2</v>
      </c>
      <c r="L206" s="6">
        <f t="shared" si="6"/>
        <v>0.6258614643883097</v>
      </c>
      <c r="M206" s="5" t="s">
        <v>464</v>
      </c>
      <c r="N206" s="5">
        <v>34848</v>
      </c>
      <c r="O206" s="6">
        <f t="shared" si="9"/>
        <v>0.18773535607117653</v>
      </c>
      <c r="P206" s="5" t="s">
        <v>465</v>
      </c>
      <c r="Q206" s="5">
        <v>23506</v>
      </c>
      <c r="R206" s="6">
        <f t="shared" si="7"/>
        <v>0.12663301422776271</v>
      </c>
      <c r="S206" t="s">
        <v>18</v>
      </c>
      <c r="T206" s="5" t="s">
        <v>323</v>
      </c>
      <c r="U206" t="str">
        <f>IF(COUNTIF(A:A, A206)&gt;=3, "Yes", "No")</f>
        <v>No</v>
      </c>
    </row>
    <row r="207" spans="1:21" x14ac:dyDescent="0.3">
      <c r="A207" s="5">
        <v>81</v>
      </c>
      <c r="B207" s="5" t="s">
        <v>469</v>
      </c>
      <c r="C207" s="5" t="s">
        <v>462</v>
      </c>
      <c r="D207" s="5" t="s">
        <v>470</v>
      </c>
      <c r="E207" s="5">
        <v>89143</v>
      </c>
      <c r="F207" s="6">
        <f t="shared" si="8"/>
        <v>0.47052085972468544</v>
      </c>
      <c r="G207" s="5" t="s">
        <v>341</v>
      </c>
      <c r="H207" s="5">
        <v>293635</v>
      </c>
      <c r="I207" s="5">
        <v>189456</v>
      </c>
      <c r="J207" s="5">
        <v>9701</v>
      </c>
      <c r="K207" s="6">
        <f t="shared" si="5"/>
        <v>5.1204501309011066E-2</v>
      </c>
      <c r="L207" s="6">
        <f t="shared" si="6"/>
        <v>0.64520918827796414</v>
      </c>
      <c r="M207" s="5" t="s">
        <v>471</v>
      </c>
      <c r="N207" s="5">
        <v>11255</v>
      </c>
      <c r="O207" s="6">
        <f t="shared" si="9"/>
        <v>5.9406933536018919E-2</v>
      </c>
      <c r="P207" s="5" t="s">
        <v>369</v>
      </c>
      <c r="Q207" s="5">
        <v>9102</v>
      </c>
      <c r="R207" s="6">
        <f t="shared" si="7"/>
        <v>4.8042817329617432E-2</v>
      </c>
      <c r="S207" t="s">
        <v>18</v>
      </c>
      <c r="T207" s="5" t="s">
        <v>323</v>
      </c>
      <c r="U207" t="str">
        <f>IF(COUNTIF(A:A, A207)&gt;=3, "Yes", "No")</f>
        <v>No</v>
      </c>
    </row>
    <row r="208" spans="1:21" x14ac:dyDescent="0.3">
      <c r="A208" s="5">
        <v>84</v>
      </c>
      <c r="B208" s="5" t="s">
        <v>472</v>
      </c>
      <c r="C208" s="5" t="s">
        <v>473</v>
      </c>
      <c r="D208" s="5" t="s">
        <v>476</v>
      </c>
      <c r="E208" s="5">
        <v>74325</v>
      </c>
      <c r="F208" s="6">
        <f t="shared" si="8"/>
        <v>0.37959846577357392</v>
      </c>
      <c r="G208" s="5" t="s">
        <v>316</v>
      </c>
      <c r="H208" s="5">
        <v>279379</v>
      </c>
      <c r="I208" s="5">
        <v>195799</v>
      </c>
      <c r="J208" s="5">
        <v>13363</v>
      </c>
      <c r="K208" s="6">
        <f t="shared" si="5"/>
        <v>6.8248561024315757E-2</v>
      </c>
      <c r="L208" s="6">
        <f t="shared" si="6"/>
        <v>0.7008364980904076</v>
      </c>
      <c r="M208" s="5" t="s">
        <v>477</v>
      </c>
      <c r="N208" s="5">
        <v>44143</v>
      </c>
      <c r="O208" s="6">
        <f t="shared" si="9"/>
        <v>0.22545058963528924</v>
      </c>
      <c r="P208" s="5" t="s">
        <v>328</v>
      </c>
      <c r="Q208" s="5">
        <v>33287</v>
      </c>
      <c r="R208" s="6">
        <f t="shared" si="7"/>
        <v>0.17000597551570742</v>
      </c>
      <c r="S208" t="s">
        <v>18</v>
      </c>
      <c r="T208" s="5" t="s">
        <v>323</v>
      </c>
      <c r="U208" t="str">
        <f>IF(COUNTIF(A:A, A208)&gt;=3, "Yes", "No")</f>
        <v>No</v>
      </c>
    </row>
    <row r="209" spans="1:21" x14ac:dyDescent="0.3">
      <c r="A209" s="5">
        <v>86</v>
      </c>
      <c r="B209" s="5" t="s">
        <v>478</v>
      </c>
      <c r="C209" s="5" t="s">
        <v>473</v>
      </c>
      <c r="D209" s="5" t="s">
        <v>479</v>
      </c>
      <c r="E209" s="5">
        <v>62884</v>
      </c>
      <c r="F209" s="6">
        <f t="shared" si="8"/>
        <v>0.33183993752011864</v>
      </c>
      <c r="G209" s="5" t="s">
        <v>328</v>
      </c>
      <c r="H209" s="5">
        <v>313523</v>
      </c>
      <c r="I209" s="5">
        <v>189501</v>
      </c>
      <c r="J209" s="5">
        <v>12106</v>
      </c>
      <c r="K209" s="6">
        <f t="shared" si="5"/>
        <v>6.3883567896739338E-2</v>
      </c>
      <c r="L209" s="6">
        <f t="shared" si="6"/>
        <v>0.6044245557742175</v>
      </c>
      <c r="M209" s="5" t="s">
        <v>480</v>
      </c>
      <c r="N209" s="5">
        <v>41892</v>
      </c>
      <c r="O209" s="6">
        <f t="shared" si="9"/>
        <v>0.22106479649183911</v>
      </c>
      <c r="P209" s="5" t="s">
        <v>378</v>
      </c>
      <c r="Q209" s="5">
        <v>15323</v>
      </c>
      <c r="R209" s="6">
        <f t="shared" si="7"/>
        <v>8.0859731610914976E-2</v>
      </c>
      <c r="S209" t="s">
        <v>18</v>
      </c>
      <c r="T209" s="5" t="s">
        <v>323</v>
      </c>
      <c r="U209" t="str">
        <f>IF(COUNTIF(A:A, A209)&gt;=3, "Yes", "No")</f>
        <v>No</v>
      </c>
    </row>
    <row r="210" spans="1:21" x14ac:dyDescent="0.3">
      <c r="A210" s="5">
        <v>93</v>
      </c>
      <c r="B210" s="5" t="s">
        <v>486</v>
      </c>
      <c r="C210" s="5" t="s">
        <v>487</v>
      </c>
      <c r="D210" s="5" t="s">
        <v>490</v>
      </c>
      <c r="E210" s="5">
        <v>82515</v>
      </c>
      <c r="F210" s="6">
        <f t="shared" si="8"/>
        <v>0.39041134778617864</v>
      </c>
      <c r="G210" s="5" t="s">
        <v>328</v>
      </c>
      <c r="H210" s="5">
        <v>305506</v>
      </c>
      <c r="I210" s="5">
        <v>211354</v>
      </c>
      <c r="J210" s="5">
        <v>16378</v>
      </c>
      <c r="K210" s="6">
        <f t="shared" si="5"/>
        <v>7.7490844743889398E-2</v>
      </c>
      <c r="L210" s="6">
        <f t="shared" si="6"/>
        <v>0.69181620000916511</v>
      </c>
      <c r="M210" s="5" t="s">
        <v>491</v>
      </c>
      <c r="N210" s="5">
        <v>57544</v>
      </c>
      <c r="O210" s="6">
        <f t="shared" si="9"/>
        <v>0.27226359567360919</v>
      </c>
      <c r="P210" s="5" t="s">
        <v>316</v>
      </c>
      <c r="Q210" s="5">
        <v>56297</v>
      </c>
      <c r="R210" s="6">
        <f t="shared" si="7"/>
        <v>0.26636354173566623</v>
      </c>
      <c r="S210" t="s">
        <v>18</v>
      </c>
      <c r="T210" s="5" t="s">
        <v>323</v>
      </c>
      <c r="U210" t="str">
        <f>IF(COUNTIF(A:A, A210)&gt;=3, "Yes", "No")</f>
        <v>No</v>
      </c>
    </row>
    <row r="211" spans="1:21" x14ac:dyDescent="0.3">
      <c r="A211" s="5">
        <v>97</v>
      </c>
      <c r="B211" s="5" t="s">
        <v>88</v>
      </c>
      <c r="C211" s="5" t="s">
        <v>493</v>
      </c>
      <c r="D211" s="5" t="s">
        <v>498</v>
      </c>
      <c r="E211" s="5">
        <v>81169</v>
      </c>
      <c r="F211" s="6">
        <f t="shared" si="8"/>
        <v>0.30071725486999756</v>
      </c>
      <c r="G211" s="5" t="s">
        <v>499</v>
      </c>
      <c r="H211" s="5">
        <v>389421</v>
      </c>
      <c r="I211" s="5">
        <v>269918</v>
      </c>
      <c r="J211" s="5">
        <v>18058</v>
      </c>
      <c r="K211" s="6">
        <f t="shared" si="5"/>
        <v>6.6901799805866968E-2</v>
      </c>
      <c r="L211" s="6">
        <f t="shared" si="6"/>
        <v>0.69312646210656337</v>
      </c>
      <c r="M211" s="5" t="s">
        <v>500</v>
      </c>
      <c r="N211" s="5">
        <v>52247</v>
      </c>
      <c r="O211" s="6">
        <f t="shared" si="9"/>
        <v>0.19356619417749094</v>
      </c>
      <c r="P211" s="5" t="s">
        <v>338</v>
      </c>
      <c r="Q211" s="5">
        <v>23410</v>
      </c>
      <c r="R211" s="6">
        <f t="shared" si="7"/>
        <v>8.6730043939270446E-2</v>
      </c>
      <c r="S211" t="s">
        <v>18</v>
      </c>
      <c r="T211" s="5" t="s">
        <v>323</v>
      </c>
      <c r="U211" t="str">
        <f>IF(COUNTIF(A:A, A211)&gt;=3, "Yes", "No")</f>
        <v>No</v>
      </c>
    </row>
    <row r="212" spans="1:21" x14ac:dyDescent="0.3">
      <c r="A212" s="5">
        <v>98</v>
      </c>
      <c r="B212" s="5" t="s">
        <v>501</v>
      </c>
      <c r="C212" s="5" t="s">
        <v>493</v>
      </c>
      <c r="D212" s="5" t="s">
        <v>504</v>
      </c>
      <c r="E212" s="5">
        <v>105625</v>
      </c>
      <c r="F212" s="6">
        <f t="shared" si="8"/>
        <v>0.44693860280116787</v>
      </c>
      <c r="G212" s="5" t="s">
        <v>316</v>
      </c>
      <c r="H212" s="5">
        <v>353895</v>
      </c>
      <c r="I212" s="5">
        <v>236330</v>
      </c>
      <c r="J212" s="5">
        <v>14774</v>
      </c>
      <c r="K212" s="6">
        <f t="shared" si="5"/>
        <v>6.2514280878432693E-2</v>
      </c>
      <c r="L212" s="6">
        <f t="shared" si="6"/>
        <v>0.66779694542166457</v>
      </c>
      <c r="M212" s="5" t="s">
        <v>505</v>
      </c>
      <c r="N212" s="5">
        <v>21744</v>
      </c>
      <c r="O212" s="6">
        <f t="shared" si="9"/>
        <v>9.2006939449075439E-2</v>
      </c>
      <c r="P212" s="5" t="s">
        <v>369</v>
      </c>
      <c r="Q212" s="5">
        <v>13193</v>
      </c>
      <c r="R212" s="6">
        <f t="shared" si="7"/>
        <v>5.5824482714847884E-2</v>
      </c>
      <c r="S212" t="s">
        <v>18</v>
      </c>
      <c r="T212" s="5" t="s">
        <v>323</v>
      </c>
      <c r="U212" t="str">
        <f>IF(COUNTIF(A:A, A212)&gt;=3, "Yes", "No")</f>
        <v>No</v>
      </c>
    </row>
    <row r="213" spans="1:21" x14ac:dyDescent="0.3">
      <c r="A213" s="5">
        <v>105</v>
      </c>
      <c r="B213" s="5" t="s">
        <v>517</v>
      </c>
      <c r="C213" s="5" t="s">
        <v>514</v>
      </c>
      <c r="D213" s="5" t="s">
        <v>518</v>
      </c>
      <c r="E213" s="5">
        <v>79225</v>
      </c>
      <c r="F213" s="6">
        <f t="shared" si="8"/>
        <v>0.36720741599073004</v>
      </c>
      <c r="G213" s="5" t="s">
        <v>328</v>
      </c>
      <c r="H213" s="5">
        <v>314679</v>
      </c>
      <c r="I213" s="5">
        <v>215750</v>
      </c>
      <c r="J213" s="5">
        <v>18690</v>
      </c>
      <c r="K213" s="6">
        <f t="shared" si="5"/>
        <v>8.6628041714947854E-2</v>
      </c>
      <c r="L213" s="6">
        <f t="shared" si="6"/>
        <v>0.68561931364978279</v>
      </c>
      <c r="M213" s="5" t="s">
        <v>519</v>
      </c>
      <c r="N213" s="5">
        <v>43625</v>
      </c>
      <c r="O213" s="6">
        <f t="shared" si="9"/>
        <v>0.2022016222479722</v>
      </c>
      <c r="P213" s="5" t="s">
        <v>341</v>
      </c>
      <c r="Q213" s="5">
        <v>29276</v>
      </c>
      <c r="R213" s="6">
        <f t="shared" si="7"/>
        <v>0.13569409038238703</v>
      </c>
      <c r="S213" t="s">
        <v>18</v>
      </c>
      <c r="T213" s="5" t="s">
        <v>323</v>
      </c>
      <c r="U213" t="str">
        <f>IF(COUNTIF(A:A, A213)&gt;=3, "Yes", "No")</f>
        <v>No</v>
      </c>
    </row>
    <row r="214" spans="1:21" x14ac:dyDescent="0.3">
      <c r="A214" s="5">
        <v>107</v>
      </c>
      <c r="B214" s="5" t="s">
        <v>98</v>
      </c>
      <c r="C214" s="5" t="s">
        <v>514</v>
      </c>
      <c r="D214" s="5" t="s">
        <v>522</v>
      </c>
      <c r="E214" s="5">
        <v>82217</v>
      </c>
      <c r="F214" s="6">
        <f t="shared" si="8"/>
        <v>0.42266604976352046</v>
      </c>
      <c r="G214" s="5" t="s">
        <v>328</v>
      </c>
      <c r="H214" s="5">
        <v>325835</v>
      </c>
      <c r="I214" s="5">
        <v>194520</v>
      </c>
      <c r="J214" s="5">
        <v>13892</v>
      </c>
      <c r="K214" s="6">
        <f t="shared" si="5"/>
        <v>7.1416820892453214E-2</v>
      </c>
      <c r="L214" s="6">
        <f t="shared" si="6"/>
        <v>0.59698927371215493</v>
      </c>
      <c r="M214" s="5" t="s">
        <v>523</v>
      </c>
      <c r="N214" s="5">
        <v>27302</v>
      </c>
      <c r="O214" s="6">
        <f t="shared" si="9"/>
        <v>0.14035574748097882</v>
      </c>
      <c r="P214" s="5" t="s">
        <v>369</v>
      </c>
      <c r="Q214" s="5">
        <v>20012</v>
      </c>
      <c r="R214" s="6">
        <f t="shared" si="7"/>
        <v>0.10287888134896155</v>
      </c>
      <c r="S214" t="s">
        <v>18</v>
      </c>
      <c r="T214" s="5" t="s">
        <v>323</v>
      </c>
      <c r="U214" t="str">
        <f>IF(COUNTIF(A:A, A214)&gt;=3, "Yes", "No")</f>
        <v>Yes</v>
      </c>
    </row>
    <row r="215" spans="1:21" x14ac:dyDescent="0.3">
      <c r="A215" s="5">
        <v>110</v>
      </c>
      <c r="B215" s="5" t="s">
        <v>105</v>
      </c>
      <c r="C215" s="5" t="s">
        <v>514</v>
      </c>
      <c r="D215" s="5" t="s">
        <v>526</v>
      </c>
      <c r="E215" s="5">
        <v>83403</v>
      </c>
      <c r="F215" s="6">
        <f t="shared" si="8"/>
        <v>0.39106949439440331</v>
      </c>
      <c r="G215" s="5" t="s">
        <v>328</v>
      </c>
      <c r="H215" s="5">
        <v>294058</v>
      </c>
      <c r="I215" s="5">
        <v>213269</v>
      </c>
      <c r="J215" s="5">
        <v>14139</v>
      </c>
      <c r="K215" s="6">
        <f t="shared" si="5"/>
        <v>6.6296555054883743E-2</v>
      </c>
      <c r="L215" s="6">
        <f t="shared" si="6"/>
        <v>0.72526168306932648</v>
      </c>
      <c r="M215" s="5" t="s">
        <v>527</v>
      </c>
      <c r="N215" s="5">
        <v>20654</v>
      </c>
      <c r="O215" s="6">
        <f t="shared" si="9"/>
        <v>9.6844829768977209E-2</v>
      </c>
      <c r="P215" s="5" t="s">
        <v>369</v>
      </c>
      <c r="Q215" s="5">
        <v>3442</v>
      </c>
      <c r="R215" s="6">
        <f t="shared" si="7"/>
        <v>1.6139241990162659E-2</v>
      </c>
      <c r="S215" t="s">
        <v>18</v>
      </c>
      <c r="T215" s="5" t="s">
        <v>323</v>
      </c>
      <c r="U215" t="str">
        <f>IF(COUNTIF(A:A, A215)&gt;=3, "Yes", "No")</f>
        <v>Yes</v>
      </c>
    </row>
    <row r="216" spans="1:21" x14ac:dyDescent="0.3">
      <c r="A216" s="5">
        <v>121</v>
      </c>
      <c r="B216" s="5" t="s">
        <v>538</v>
      </c>
      <c r="C216" s="5" t="s">
        <v>531</v>
      </c>
      <c r="D216" s="5" t="s">
        <v>539</v>
      </c>
      <c r="E216" s="5">
        <v>96354</v>
      </c>
      <c r="F216" s="6">
        <f t="shared" si="8"/>
        <v>0.47171769590036328</v>
      </c>
      <c r="G216" s="5" t="s">
        <v>341</v>
      </c>
      <c r="H216" s="5">
        <v>271802</v>
      </c>
      <c r="I216" s="5">
        <v>204262</v>
      </c>
      <c r="J216" s="5">
        <v>17668</v>
      </c>
      <c r="K216" s="6">
        <f t="shared" si="5"/>
        <v>8.6496754168665729E-2</v>
      </c>
      <c r="L216" s="6">
        <f t="shared" si="6"/>
        <v>0.75151029057917162</v>
      </c>
      <c r="M216" s="5" t="s">
        <v>540</v>
      </c>
      <c r="N216" s="5">
        <v>24046</v>
      </c>
      <c r="O216" s="6">
        <f t="shared" si="9"/>
        <v>0.11772135786391986</v>
      </c>
      <c r="P216" s="5" t="s">
        <v>541</v>
      </c>
      <c r="Q216" s="5">
        <v>21379</v>
      </c>
      <c r="R216" s="6">
        <f t="shared" si="7"/>
        <v>0.10466459742879243</v>
      </c>
      <c r="S216" t="s">
        <v>18</v>
      </c>
      <c r="T216" s="5" t="s">
        <v>323</v>
      </c>
      <c r="U216" t="str">
        <f>IF(COUNTIF(A:A, A216)&gt;=3, "Yes", "No")</f>
        <v>No</v>
      </c>
    </row>
    <row r="217" spans="1:21" x14ac:dyDescent="0.3">
      <c r="A217" s="5">
        <v>136</v>
      </c>
      <c r="B217" s="5" t="s">
        <v>561</v>
      </c>
      <c r="C217" s="5" t="s">
        <v>552</v>
      </c>
      <c r="D217" s="5" t="s">
        <v>562</v>
      </c>
      <c r="E217" s="5">
        <v>58857</v>
      </c>
      <c r="F217" s="6">
        <f t="shared" si="8"/>
        <v>0.42384024887301425</v>
      </c>
      <c r="G217" s="5" t="s">
        <v>318</v>
      </c>
      <c r="H217" s="5">
        <v>275855</v>
      </c>
      <c r="I217" s="5">
        <v>138866</v>
      </c>
      <c r="J217" s="5">
        <v>14912</v>
      </c>
      <c r="K217" s="6">
        <f t="shared" si="5"/>
        <v>0.10738409689916899</v>
      </c>
      <c r="L217" s="6">
        <f t="shared" si="6"/>
        <v>0.50340214968008556</v>
      </c>
      <c r="M217" s="5" t="s">
        <v>563</v>
      </c>
      <c r="N217" s="5">
        <v>28359</v>
      </c>
      <c r="O217" s="6">
        <f t="shared" si="9"/>
        <v>0.20421845520141718</v>
      </c>
      <c r="P217" s="5" t="s">
        <v>316</v>
      </c>
      <c r="Q217" s="5">
        <v>25759</v>
      </c>
      <c r="R217" s="6">
        <f t="shared" si="7"/>
        <v>0.18549536963691615</v>
      </c>
      <c r="S217" t="s">
        <v>18</v>
      </c>
      <c r="T217" s="5" t="s">
        <v>323</v>
      </c>
      <c r="U217" t="str">
        <f>IF(COUNTIF(A:A, A217)&gt;=3, "Yes", "No")</f>
        <v>No</v>
      </c>
    </row>
    <row r="218" spans="1:21" x14ac:dyDescent="0.3">
      <c r="A218" s="5">
        <v>138</v>
      </c>
      <c r="B218" s="5" t="s">
        <v>564</v>
      </c>
      <c r="C218" s="5" t="s">
        <v>552</v>
      </c>
      <c r="D218" s="5" t="s">
        <v>565</v>
      </c>
      <c r="E218" s="5">
        <v>65486</v>
      </c>
      <c r="F218" s="6">
        <f t="shared" si="8"/>
        <v>0.34504452289372467</v>
      </c>
      <c r="G218" s="5" t="s">
        <v>328</v>
      </c>
      <c r="H218" s="5">
        <v>452924</v>
      </c>
      <c r="I218" s="5">
        <v>189790</v>
      </c>
      <c r="J218" s="5">
        <v>22277</v>
      </c>
      <c r="K218" s="6">
        <f t="shared" si="5"/>
        <v>0.11737710100637547</v>
      </c>
      <c r="L218" s="6">
        <f t="shared" si="6"/>
        <v>0.41903277371037967</v>
      </c>
      <c r="M218" s="5" t="s">
        <v>566</v>
      </c>
      <c r="N218" s="5">
        <v>38075</v>
      </c>
      <c r="O218" s="6">
        <f t="shared" si="9"/>
        <v>0.20061647083618736</v>
      </c>
      <c r="P218" s="5" t="s">
        <v>465</v>
      </c>
      <c r="Q218" s="5">
        <v>26427</v>
      </c>
      <c r="R218" s="6">
        <f t="shared" si="7"/>
        <v>0.13924337425575636</v>
      </c>
      <c r="S218" t="s">
        <v>18</v>
      </c>
      <c r="T218" s="5" t="s">
        <v>323</v>
      </c>
      <c r="U218" t="str">
        <f>IF(COUNTIF(A:A, A218)&gt;=3, "Yes", "No")</f>
        <v>No</v>
      </c>
    </row>
    <row r="219" spans="1:21" x14ac:dyDescent="0.3">
      <c r="A219" s="5">
        <v>142</v>
      </c>
      <c r="B219" s="5" t="s">
        <v>570</v>
      </c>
      <c r="C219" s="5" t="s">
        <v>552</v>
      </c>
      <c r="D219" s="5" t="s">
        <v>571</v>
      </c>
      <c r="E219" s="5">
        <v>60332</v>
      </c>
      <c r="F219" s="6">
        <f t="shared" si="8"/>
        <v>0.39938568269981861</v>
      </c>
      <c r="G219" s="5" t="s">
        <v>318</v>
      </c>
      <c r="H219" s="5">
        <v>345802</v>
      </c>
      <c r="I219" s="5">
        <v>151062</v>
      </c>
      <c r="J219" s="5">
        <v>12257</v>
      </c>
      <c r="K219" s="6">
        <f t="shared" si="5"/>
        <v>8.1138870132793153E-2</v>
      </c>
      <c r="L219" s="6">
        <f t="shared" si="6"/>
        <v>0.43684536237500071</v>
      </c>
      <c r="M219" s="5" t="s">
        <v>572</v>
      </c>
      <c r="N219" s="5">
        <v>16757</v>
      </c>
      <c r="O219" s="6">
        <f t="shared" si="9"/>
        <v>0.11092796335279555</v>
      </c>
      <c r="P219" s="5" t="s">
        <v>341</v>
      </c>
      <c r="Q219" s="5">
        <v>3858</v>
      </c>
      <c r="R219" s="6">
        <f t="shared" si="7"/>
        <v>2.5539182587282043E-2</v>
      </c>
      <c r="S219" t="s">
        <v>18</v>
      </c>
      <c r="T219" s="5" t="s">
        <v>323</v>
      </c>
      <c r="U219" t="str">
        <f>IF(COUNTIF(A:A, A219)&gt;=3, "Yes", "No")</f>
        <v>No</v>
      </c>
    </row>
    <row r="220" spans="1:21" x14ac:dyDescent="0.3">
      <c r="A220" s="5">
        <v>145</v>
      </c>
      <c r="B220" s="5" t="s">
        <v>143</v>
      </c>
      <c r="C220" s="5" t="s">
        <v>552</v>
      </c>
      <c r="D220" s="5" t="s">
        <v>573</v>
      </c>
      <c r="E220" s="5">
        <v>79575</v>
      </c>
      <c r="F220" s="6">
        <f t="shared" si="8"/>
        <v>0.37599935738721202</v>
      </c>
      <c r="G220" s="5" t="s">
        <v>338</v>
      </c>
      <c r="H220" s="5">
        <v>437178</v>
      </c>
      <c r="I220" s="5">
        <v>211636</v>
      </c>
      <c r="J220" s="5">
        <v>15526</v>
      </c>
      <c r="K220" s="6">
        <f t="shared" si="5"/>
        <v>7.3361809900017005E-2</v>
      </c>
      <c r="L220" s="6">
        <f t="shared" si="6"/>
        <v>0.4840957230235739</v>
      </c>
      <c r="M220" s="5" t="s">
        <v>574</v>
      </c>
      <c r="N220" s="5">
        <v>55939</v>
      </c>
      <c r="O220" s="6">
        <f t="shared" si="9"/>
        <v>0.26431703490899466</v>
      </c>
      <c r="P220" s="5" t="s">
        <v>316</v>
      </c>
      <c r="Q220" s="5">
        <v>52003</v>
      </c>
      <c r="R220" s="6">
        <f t="shared" si="7"/>
        <v>0.24571906480938971</v>
      </c>
      <c r="S220" t="s">
        <v>18</v>
      </c>
      <c r="T220" s="5" t="s">
        <v>323</v>
      </c>
      <c r="U220" t="str">
        <f>IF(COUNTIF(A:A, A220)&gt;=3, "Yes", "No")</f>
        <v>No</v>
      </c>
    </row>
    <row r="221" spans="1:21" x14ac:dyDescent="0.3">
      <c r="A221" s="5">
        <v>157</v>
      </c>
      <c r="B221" s="5" t="s">
        <v>171</v>
      </c>
      <c r="C221" s="5" t="s">
        <v>580</v>
      </c>
      <c r="D221" s="5" t="s">
        <v>583</v>
      </c>
      <c r="E221" s="5">
        <v>71955</v>
      </c>
      <c r="F221" s="6">
        <f t="shared" si="8"/>
        <v>0.45174595999547973</v>
      </c>
      <c r="G221" s="5" t="s">
        <v>328</v>
      </c>
      <c r="H221" s="5">
        <v>283275</v>
      </c>
      <c r="I221" s="5">
        <v>159282</v>
      </c>
      <c r="J221" s="5">
        <v>29173</v>
      </c>
      <c r="K221" s="6">
        <f t="shared" si="5"/>
        <v>0.18315314975954597</v>
      </c>
      <c r="L221" s="6">
        <f t="shared" si="6"/>
        <v>0.56228752978554408</v>
      </c>
      <c r="M221" s="5" t="s">
        <v>584</v>
      </c>
      <c r="N221" s="5">
        <v>30731</v>
      </c>
      <c r="O221" s="6">
        <f t="shared" si="9"/>
        <v>0.1929345437651461</v>
      </c>
      <c r="P221" s="5" t="s">
        <v>316</v>
      </c>
      <c r="Q221" s="5">
        <v>23228</v>
      </c>
      <c r="R221" s="6">
        <f t="shared" si="7"/>
        <v>0.14582940947501916</v>
      </c>
      <c r="S221" t="s">
        <v>18</v>
      </c>
      <c r="T221" s="5" t="s">
        <v>323</v>
      </c>
      <c r="U221" t="str">
        <f>IF(COUNTIF(A:A, A221)&gt;=3, "Yes", "No")</f>
        <v>No</v>
      </c>
    </row>
    <row r="222" spans="1:21" x14ac:dyDescent="0.3">
      <c r="A222" s="5">
        <v>166</v>
      </c>
      <c r="B222" s="5" t="s">
        <v>591</v>
      </c>
      <c r="C222" s="5" t="s">
        <v>580</v>
      </c>
      <c r="D222" s="5" t="s">
        <v>592</v>
      </c>
      <c r="E222" s="5">
        <v>62773</v>
      </c>
      <c r="F222" s="6">
        <f t="shared" si="8"/>
        <v>0.42668760238449671</v>
      </c>
      <c r="G222" s="5" t="s">
        <v>328</v>
      </c>
      <c r="H222" s="5">
        <v>274716</v>
      </c>
      <c r="I222" s="5">
        <v>147117</v>
      </c>
      <c r="J222" s="5">
        <v>16965</v>
      </c>
      <c r="K222" s="6">
        <f t="shared" ref="K222:K235" si="10">J222/I222</f>
        <v>0.1153163808397398</v>
      </c>
      <c r="L222" s="6">
        <f t="shared" ref="L222:L235" si="11">I222/H222</f>
        <v>0.53552395928886565</v>
      </c>
      <c r="M222" s="5" t="s">
        <v>593</v>
      </c>
      <c r="N222" s="5">
        <v>27951</v>
      </c>
      <c r="O222" s="6">
        <f t="shared" si="9"/>
        <v>0.18999163930748997</v>
      </c>
      <c r="P222" s="5" t="s">
        <v>316</v>
      </c>
      <c r="Q222" s="5">
        <v>23636</v>
      </c>
      <c r="R222" s="6">
        <f t="shared" ref="R222:R235" si="12">Q222/I222</f>
        <v>0.16066124241250163</v>
      </c>
      <c r="S222" t="s">
        <v>18</v>
      </c>
      <c r="T222" s="5" t="s">
        <v>323</v>
      </c>
      <c r="U222" t="str">
        <f>IF(COUNTIF(A:A, A222)&gt;=3, "Yes", "No")</f>
        <v>No</v>
      </c>
    </row>
    <row r="223" spans="1:21" x14ac:dyDescent="0.3">
      <c r="A223" s="5">
        <v>173</v>
      </c>
      <c r="B223" s="5" t="s">
        <v>198</v>
      </c>
      <c r="C223" s="5" t="s">
        <v>580</v>
      </c>
      <c r="D223" s="5" t="s">
        <v>600</v>
      </c>
      <c r="E223" s="5">
        <v>53264</v>
      </c>
      <c r="F223" s="6">
        <f t="shared" ref="F223:F235" si="13">E223/I223</f>
        <v>0.40152577381760068</v>
      </c>
      <c r="G223" s="5" t="s">
        <v>328</v>
      </c>
      <c r="H223" s="5">
        <v>253901</v>
      </c>
      <c r="I223" s="5">
        <v>132654</v>
      </c>
      <c r="J223" s="5">
        <v>19018</v>
      </c>
      <c r="K223" s="6">
        <f t="shared" si="10"/>
        <v>0.14336544695222156</v>
      </c>
      <c r="L223" s="6">
        <f t="shared" si="11"/>
        <v>0.52246347986026054</v>
      </c>
      <c r="M223" s="5" t="s">
        <v>601</v>
      </c>
      <c r="N223" s="5">
        <v>23178</v>
      </c>
      <c r="O223" s="6">
        <f t="shared" ref="O223:O235" si="14">N223/I223</f>
        <v>0.17472522502148446</v>
      </c>
      <c r="P223" s="5" t="s">
        <v>369</v>
      </c>
      <c r="Q223" s="5">
        <v>8774</v>
      </c>
      <c r="R223" s="6">
        <f t="shared" si="12"/>
        <v>6.6141993456661691E-2</v>
      </c>
      <c r="S223" t="s">
        <v>18</v>
      </c>
      <c r="T223" s="5" t="s">
        <v>323</v>
      </c>
      <c r="U223" t="str">
        <f>IF(COUNTIF(A:A, A223)&gt;=3, "Yes", "No")</f>
        <v>Yes</v>
      </c>
    </row>
    <row r="224" spans="1:21" x14ac:dyDescent="0.3">
      <c r="A224" s="5">
        <v>178</v>
      </c>
      <c r="B224" s="5" t="s">
        <v>607</v>
      </c>
      <c r="C224" s="5" t="s">
        <v>608</v>
      </c>
      <c r="D224" s="5" t="s">
        <v>611</v>
      </c>
      <c r="E224" s="5">
        <v>53954</v>
      </c>
      <c r="F224" s="6">
        <f t="shared" si="13"/>
        <v>0.45310177448205785</v>
      </c>
      <c r="G224" s="5" t="s">
        <v>316</v>
      </c>
      <c r="H224" s="5">
        <v>250251</v>
      </c>
      <c r="I224" s="5">
        <v>119077</v>
      </c>
      <c r="J224" s="5">
        <v>11824</v>
      </c>
      <c r="K224" s="6">
        <f t="shared" si="10"/>
        <v>9.929709347732979E-2</v>
      </c>
      <c r="L224" s="6">
        <f t="shared" si="11"/>
        <v>0.47583026641252185</v>
      </c>
      <c r="M224" s="5" t="s">
        <v>612</v>
      </c>
      <c r="N224" s="5">
        <v>13099</v>
      </c>
      <c r="O224" s="6">
        <f t="shared" si="14"/>
        <v>0.1100044509015175</v>
      </c>
      <c r="P224" s="5" t="s">
        <v>378</v>
      </c>
      <c r="Q224" s="5">
        <v>9037</v>
      </c>
      <c r="R224" s="6">
        <f t="shared" si="12"/>
        <v>7.5892069837164192E-2</v>
      </c>
      <c r="S224" t="s">
        <v>18</v>
      </c>
      <c r="T224" s="5" t="s">
        <v>323</v>
      </c>
      <c r="U224" t="str">
        <f>IF(COUNTIF(A:A, A224)&gt;=3, "Yes", "No")</f>
        <v>No</v>
      </c>
    </row>
    <row r="225" spans="1:21" x14ac:dyDescent="0.3">
      <c r="A225" s="5">
        <v>184</v>
      </c>
      <c r="B225" s="5" t="s">
        <v>217</v>
      </c>
      <c r="C225" s="5" t="s">
        <v>608</v>
      </c>
      <c r="D225" s="5" t="s">
        <v>616</v>
      </c>
      <c r="E225" s="5">
        <v>51180</v>
      </c>
      <c r="F225" s="6">
        <f t="shared" si="13"/>
        <v>0.41034933412441971</v>
      </c>
      <c r="G225" s="5" t="s">
        <v>328</v>
      </c>
      <c r="H225" s="5">
        <v>245923</v>
      </c>
      <c r="I225" s="5">
        <v>124723</v>
      </c>
      <c r="J225" s="5">
        <v>20023</v>
      </c>
      <c r="K225" s="6">
        <f t="shared" si="10"/>
        <v>0.16053975609951654</v>
      </c>
      <c r="L225" s="6">
        <f t="shared" si="11"/>
        <v>0.50716281112380701</v>
      </c>
      <c r="M225" s="5" t="s">
        <v>617</v>
      </c>
      <c r="N225" s="5">
        <v>24139</v>
      </c>
      <c r="O225" s="6">
        <f t="shared" si="14"/>
        <v>0.19354088660471605</v>
      </c>
      <c r="P225" s="5" t="s">
        <v>316</v>
      </c>
      <c r="Q225" s="5">
        <v>13646</v>
      </c>
      <c r="R225" s="6">
        <f t="shared" si="12"/>
        <v>0.10941045356510026</v>
      </c>
      <c r="S225" t="s">
        <v>18</v>
      </c>
      <c r="T225" s="5" t="s">
        <v>323</v>
      </c>
      <c r="U225" t="str">
        <f>IF(COUNTIF(A:A, A225)&gt;=3, "Yes", "No")</f>
        <v>No</v>
      </c>
    </row>
    <row r="226" spans="1:21" x14ac:dyDescent="0.3">
      <c r="A226" s="5">
        <v>197</v>
      </c>
      <c r="B226" s="5" t="s">
        <v>233</v>
      </c>
      <c r="C226" s="5" t="s">
        <v>627</v>
      </c>
      <c r="D226" s="5" t="s">
        <v>630</v>
      </c>
      <c r="E226" s="5">
        <v>96866</v>
      </c>
      <c r="F226" s="6">
        <f t="shared" si="13"/>
        <v>0.43881401617250676</v>
      </c>
      <c r="G226" s="5" t="s">
        <v>341</v>
      </c>
      <c r="H226" s="5">
        <v>327618</v>
      </c>
      <c r="I226" s="5">
        <v>220745</v>
      </c>
      <c r="J226" s="5">
        <v>33242</v>
      </c>
      <c r="K226" s="6">
        <f t="shared" si="10"/>
        <v>0.15059004733969059</v>
      </c>
      <c r="L226" s="6">
        <f t="shared" si="11"/>
        <v>0.67378776501901605</v>
      </c>
      <c r="M226" s="5" t="s">
        <v>631</v>
      </c>
      <c r="N226" s="5">
        <v>53874</v>
      </c>
      <c r="O226" s="6">
        <f t="shared" si="14"/>
        <v>0.2440553579922535</v>
      </c>
      <c r="P226" s="5" t="s">
        <v>338</v>
      </c>
      <c r="Q226" s="5">
        <v>52104</v>
      </c>
      <c r="R226" s="6">
        <f t="shared" si="12"/>
        <v>0.23603705633196675</v>
      </c>
      <c r="S226" t="s">
        <v>18</v>
      </c>
      <c r="T226" s="5" t="s">
        <v>323</v>
      </c>
      <c r="U226" t="str">
        <f>IF(COUNTIF(A:A, A226)&gt;=3, "Yes", "No")</f>
        <v>No</v>
      </c>
    </row>
    <row r="227" spans="1:21" x14ac:dyDescent="0.3">
      <c r="A227" s="5">
        <v>236</v>
      </c>
      <c r="B227" s="5" t="s">
        <v>662</v>
      </c>
      <c r="C227" s="5" t="s">
        <v>663</v>
      </c>
      <c r="D227" s="5" t="s">
        <v>664</v>
      </c>
      <c r="E227" s="5">
        <v>84636</v>
      </c>
      <c r="F227" s="6">
        <f t="shared" si="13"/>
        <v>0.39369060521627491</v>
      </c>
      <c r="G227" s="5" t="s">
        <v>341</v>
      </c>
      <c r="H227" s="5">
        <v>321329</v>
      </c>
      <c r="I227" s="5">
        <v>214981</v>
      </c>
      <c r="J227" s="5">
        <v>29191</v>
      </c>
      <c r="K227" s="6">
        <f t="shared" si="10"/>
        <v>0.13578409254771351</v>
      </c>
      <c r="L227" s="6">
        <f t="shared" si="11"/>
        <v>0.66903703058236264</v>
      </c>
      <c r="M227" s="5" t="s">
        <v>665</v>
      </c>
      <c r="N227" s="5">
        <v>45846</v>
      </c>
      <c r="O227" s="6">
        <f t="shared" si="14"/>
        <v>0.21325605518627228</v>
      </c>
      <c r="P227" s="5" t="s">
        <v>338</v>
      </c>
      <c r="Q227" s="5">
        <v>23705</v>
      </c>
      <c r="R227" s="6">
        <f t="shared" si="12"/>
        <v>0.11026555835166829</v>
      </c>
      <c r="S227" t="s">
        <v>18</v>
      </c>
      <c r="T227" s="5" t="s">
        <v>323</v>
      </c>
      <c r="U227" t="str">
        <f>IF(COUNTIF(A:A, A227)&gt;=3, "Yes", "No")</f>
        <v>No</v>
      </c>
    </row>
    <row r="228" spans="1:21" x14ac:dyDescent="0.3">
      <c r="A228" s="5">
        <v>241</v>
      </c>
      <c r="B228" s="5" t="s">
        <v>281</v>
      </c>
      <c r="C228" s="5" t="s">
        <v>673</v>
      </c>
      <c r="D228" s="5" t="s">
        <v>678</v>
      </c>
      <c r="E228" s="5">
        <v>99034</v>
      </c>
      <c r="F228" s="6">
        <f t="shared" si="13"/>
        <v>0.43312865190161298</v>
      </c>
      <c r="G228" s="5" t="s">
        <v>318</v>
      </c>
      <c r="H228" s="5">
        <v>352449</v>
      </c>
      <c r="I228" s="5">
        <v>228648</v>
      </c>
      <c r="J228" s="5">
        <v>23169</v>
      </c>
      <c r="K228" s="6">
        <f t="shared" si="10"/>
        <v>0.10133042930618243</v>
      </c>
      <c r="L228" s="6">
        <f t="shared" si="11"/>
        <v>0.64874066886272908</v>
      </c>
      <c r="M228" s="5" t="s">
        <v>679</v>
      </c>
      <c r="N228" s="5">
        <v>35383</v>
      </c>
      <c r="O228" s="6">
        <f t="shared" si="14"/>
        <v>0.15474878415730731</v>
      </c>
      <c r="P228" s="5" t="s">
        <v>369</v>
      </c>
      <c r="Q228" s="5">
        <v>27925</v>
      </c>
      <c r="R228" s="6">
        <f t="shared" si="12"/>
        <v>0.12213096112802212</v>
      </c>
      <c r="S228" t="s">
        <v>18</v>
      </c>
      <c r="T228" s="5" t="s">
        <v>323</v>
      </c>
      <c r="U228" t="str">
        <f>IF(COUNTIF(A:A, A228)&gt;=3, "Yes", "No")</f>
        <v>Yes</v>
      </c>
    </row>
    <row r="229" spans="1:21" x14ac:dyDescent="0.3">
      <c r="A229" s="5">
        <v>242</v>
      </c>
      <c r="B229" s="5" t="s">
        <v>278</v>
      </c>
      <c r="C229" s="5" t="s">
        <v>673</v>
      </c>
      <c r="D229" s="5" t="s">
        <v>680</v>
      </c>
      <c r="E229" s="5">
        <v>87488</v>
      </c>
      <c r="F229" s="6">
        <f t="shared" si="13"/>
        <v>0.40425472927390516</v>
      </c>
      <c r="G229" s="5" t="s">
        <v>328</v>
      </c>
      <c r="H229" s="5">
        <v>353647</v>
      </c>
      <c r="I229" s="5">
        <v>216418</v>
      </c>
      <c r="J229" s="5">
        <v>13467</v>
      </c>
      <c r="K229" s="6">
        <f t="shared" si="10"/>
        <v>6.2226801837185444E-2</v>
      </c>
      <c r="L229" s="6">
        <f t="shared" si="11"/>
        <v>0.61196051429815612</v>
      </c>
      <c r="M229" s="5" t="s">
        <v>681</v>
      </c>
      <c r="N229" s="5">
        <v>20570</v>
      </c>
      <c r="O229" s="6">
        <f t="shared" si="14"/>
        <v>9.5047546876877151E-2</v>
      </c>
      <c r="P229" s="5" t="s">
        <v>338</v>
      </c>
      <c r="Q229" s="5">
        <v>4815</v>
      </c>
      <c r="R229" s="6">
        <f t="shared" si="12"/>
        <v>2.2248611483333181E-2</v>
      </c>
      <c r="S229" t="s">
        <v>18</v>
      </c>
      <c r="T229" s="5" t="s">
        <v>323</v>
      </c>
      <c r="U229" t="str">
        <f>IF(COUNTIF(A:A, A229)&gt;=3, "Yes", "No")</f>
        <v>No</v>
      </c>
    </row>
    <row r="230" spans="1:21" x14ac:dyDescent="0.3">
      <c r="A230" s="5">
        <v>247</v>
      </c>
      <c r="B230" s="5" t="s">
        <v>689</v>
      </c>
      <c r="C230" s="5" t="s">
        <v>686</v>
      </c>
      <c r="D230" s="5" t="s">
        <v>690</v>
      </c>
      <c r="E230" s="5">
        <v>90532</v>
      </c>
      <c r="F230" s="6">
        <f t="shared" si="13"/>
        <v>0.44860461428684689</v>
      </c>
      <c r="G230" s="5" t="s">
        <v>341</v>
      </c>
      <c r="H230" s="5">
        <v>305901</v>
      </c>
      <c r="I230" s="5">
        <v>201808</v>
      </c>
      <c r="J230" s="5">
        <v>21699</v>
      </c>
      <c r="K230" s="6">
        <f t="shared" si="10"/>
        <v>0.10752299215095536</v>
      </c>
      <c r="L230" s="6">
        <f t="shared" si="11"/>
        <v>0.65971670573159291</v>
      </c>
      <c r="M230" s="5" t="s">
        <v>691</v>
      </c>
      <c r="N230" s="5">
        <v>23649</v>
      </c>
      <c r="O230" s="6">
        <f t="shared" si="14"/>
        <v>0.11718564179814477</v>
      </c>
      <c r="P230" s="5" t="s">
        <v>338</v>
      </c>
      <c r="Q230" s="5">
        <v>17220</v>
      </c>
      <c r="R230" s="6">
        <f t="shared" si="12"/>
        <v>8.5328629192103392E-2</v>
      </c>
      <c r="S230" t="s">
        <v>18</v>
      </c>
      <c r="T230" s="5" t="s">
        <v>323</v>
      </c>
      <c r="U230" t="str">
        <f>IF(COUNTIF(A:A, A230)&gt;=3, "Yes", "No")</f>
        <v>No</v>
      </c>
    </row>
    <row r="231" spans="1:21" x14ac:dyDescent="0.3">
      <c r="A231" s="5">
        <v>249</v>
      </c>
      <c r="B231" s="5" t="s">
        <v>692</v>
      </c>
      <c r="C231" s="5" t="s">
        <v>686</v>
      </c>
      <c r="D231" s="5" t="s">
        <v>695</v>
      </c>
      <c r="E231" s="5">
        <v>51440</v>
      </c>
      <c r="F231" s="6">
        <f t="shared" si="13"/>
        <v>0.30578821906896286</v>
      </c>
      <c r="G231" s="5" t="s">
        <v>316</v>
      </c>
      <c r="H231" s="5">
        <v>302160</v>
      </c>
      <c r="I231" s="5">
        <v>168221</v>
      </c>
      <c r="J231" s="5">
        <v>12719</v>
      </c>
      <c r="K231" s="6">
        <f t="shared" si="10"/>
        <v>7.5608871662872057E-2</v>
      </c>
      <c r="L231" s="6">
        <f t="shared" si="11"/>
        <v>0.55672822345777073</v>
      </c>
      <c r="M231" s="5" t="s">
        <v>696</v>
      </c>
      <c r="N231" s="5">
        <v>30081</v>
      </c>
      <c r="O231" s="6">
        <f t="shared" si="14"/>
        <v>0.17881834015967091</v>
      </c>
      <c r="P231" s="5" t="s">
        <v>338</v>
      </c>
      <c r="Q231" s="5">
        <v>834</v>
      </c>
      <c r="R231" s="6">
        <f t="shared" si="12"/>
        <v>4.9577638939252528E-3</v>
      </c>
      <c r="S231" t="s">
        <v>18</v>
      </c>
      <c r="T231" s="5" t="s">
        <v>323</v>
      </c>
      <c r="U231" t="str">
        <f>IF(COUNTIF(A:A, A231)&gt;=3, "Yes", "No")</f>
        <v>No</v>
      </c>
    </row>
    <row r="232" spans="1:21" x14ac:dyDescent="0.3">
      <c r="A232" s="5">
        <v>252</v>
      </c>
      <c r="B232" s="5" t="s">
        <v>700</v>
      </c>
      <c r="C232" s="5" t="s">
        <v>686</v>
      </c>
      <c r="D232" s="5" t="s">
        <v>701</v>
      </c>
      <c r="E232" s="5">
        <v>89787</v>
      </c>
      <c r="F232" s="6">
        <f t="shared" si="13"/>
        <v>0.3748027617528949</v>
      </c>
      <c r="G232" s="5" t="s">
        <v>341</v>
      </c>
      <c r="H232" s="5">
        <v>334120</v>
      </c>
      <c r="I232" s="5">
        <v>239558</v>
      </c>
      <c r="J232" s="5">
        <v>13361</v>
      </c>
      <c r="K232" s="6">
        <f t="shared" si="10"/>
        <v>5.5773549620551179E-2</v>
      </c>
      <c r="L232" s="6">
        <f t="shared" si="11"/>
        <v>0.71698192266251648</v>
      </c>
      <c r="M232" s="5" t="s">
        <v>702</v>
      </c>
      <c r="N232" s="5">
        <v>54124</v>
      </c>
      <c r="O232" s="6">
        <f t="shared" si="14"/>
        <v>0.22593275949874353</v>
      </c>
      <c r="P232" s="5" t="s">
        <v>338</v>
      </c>
      <c r="Q232" s="5">
        <v>46892</v>
      </c>
      <c r="R232" s="6">
        <f t="shared" si="12"/>
        <v>0.19574382821696626</v>
      </c>
      <c r="S232" t="s">
        <v>18</v>
      </c>
      <c r="T232" s="5" t="s">
        <v>323</v>
      </c>
      <c r="U232" t="str">
        <f>IF(COUNTIF(A:A, A232)&gt;=3, "Yes", "No")</f>
        <v>No</v>
      </c>
    </row>
    <row r="233" spans="1:21" x14ac:dyDescent="0.3">
      <c r="A233" s="5">
        <v>273</v>
      </c>
      <c r="B233" s="5" t="s">
        <v>306</v>
      </c>
      <c r="C233" s="5" t="s">
        <v>714</v>
      </c>
      <c r="D233" s="5" t="s">
        <v>308</v>
      </c>
      <c r="E233" s="5">
        <v>116436</v>
      </c>
      <c r="F233" s="6">
        <f t="shared" si="13"/>
        <v>0.4416544022819342</v>
      </c>
      <c r="G233" s="5" t="s">
        <v>341</v>
      </c>
      <c r="H233" s="5">
        <v>324647</v>
      </c>
      <c r="I233" s="5">
        <v>263636</v>
      </c>
      <c r="J233" s="5">
        <v>28133</v>
      </c>
      <c r="K233" s="6">
        <f t="shared" si="10"/>
        <v>0.10671152649865724</v>
      </c>
      <c r="L233" s="6">
        <f t="shared" si="11"/>
        <v>0.81206972496280572</v>
      </c>
      <c r="M233" s="5" t="s">
        <v>715</v>
      </c>
      <c r="N233" s="5">
        <v>55657</v>
      </c>
      <c r="O233" s="6">
        <f t="shared" si="14"/>
        <v>0.21111304981110318</v>
      </c>
      <c r="P233" s="5" t="s">
        <v>328</v>
      </c>
      <c r="Q233" s="5">
        <v>54494</v>
      </c>
      <c r="R233" s="6">
        <f t="shared" si="12"/>
        <v>0.20670166441608884</v>
      </c>
      <c r="S233" t="s">
        <v>18</v>
      </c>
      <c r="T233" s="5" t="s">
        <v>323</v>
      </c>
      <c r="U233" t="str">
        <f>IF(COUNTIF(A:A, A233)&gt;=3, "Yes", "No")</f>
        <v>No</v>
      </c>
    </row>
    <row r="234" spans="1:21" x14ac:dyDescent="0.3">
      <c r="A234" s="5">
        <v>280</v>
      </c>
      <c r="B234" s="5" t="s">
        <v>310</v>
      </c>
      <c r="C234" s="5" t="s">
        <v>714</v>
      </c>
      <c r="D234" s="5" t="s">
        <v>725</v>
      </c>
      <c r="E234" s="5">
        <v>90038</v>
      </c>
      <c r="F234" s="6">
        <f t="shared" si="13"/>
        <v>0.38461669898931217</v>
      </c>
      <c r="G234" s="5" t="s">
        <v>338</v>
      </c>
      <c r="H234" s="5">
        <v>313330</v>
      </c>
      <c r="I234" s="5">
        <v>234098</v>
      </c>
      <c r="J234" s="5">
        <v>27824</v>
      </c>
      <c r="K234" s="6">
        <f t="shared" si="10"/>
        <v>0.11885620552076481</v>
      </c>
      <c r="L234" s="6">
        <f t="shared" si="11"/>
        <v>0.74712922477898702</v>
      </c>
      <c r="M234" s="5" t="s">
        <v>726</v>
      </c>
      <c r="N234" s="5">
        <v>51804</v>
      </c>
      <c r="O234" s="6">
        <f t="shared" si="14"/>
        <v>0.22129193756460969</v>
      </c>
      <c r="P234" s="5" t="s">
        <v>710</v>
      </c>
      <c r="Q234" s="5">
        <v>37028</v>
      </c>
      <c r="R234" s="6">
        <f t="shared" si="12"/>
        <v>0.1581730728156584</v>
      </c>
      <c r="S234" t="s">
        <v>18</v>
      </c>
      <c r="T234" s="5" t="s">
        <v>323</v>
      </c>
      <c r="U234" t="str">
        <f>IF(COUNTIF(A:A, A234)&gt;=3, "Yes", "No")</f>
        <v>Yes</v>
      </c>
    </row>
    <row r="235" spans="1:21" x14ac:dyDescent="0.3">
      <c r="A235" s="5">
        <v>284</v>
      </c>
      <c r="B235" s="5" t="s">
        <v>731</v>
      </c>
      <c r="C235" s="5" t="s">
        <v>728</v>
      </c>
      <c r="D235" s="5" t="s">
        <v>732</v>
      </c>
      <c r="E235" s="5">
        <v>101933</v>
      </c>
      <c r="F235" s="6">
        <f t="shared" si="13"/>
        <v>0.44458255916398431</v>
      </c>
      <c r="G235" s="5" t="s">
        <v>341</v>
      </c>
      <c r="H235" s="5">
        <v>292965</v>
      </c>
      <c r="I235" s="5">
        <v>229278</v>
      </c>
      <c r="J235" s="5">
        <v>25931</v>
      </c>
      <c r="K235" s="6">
        <f t="shared" si="10"/>
        <v>0.11309850923333246</v>
      </c>
      <c r="L235" s="6">
        <f t="shared" si="11"/>
        <v>0.78261225743689522</v>
      </c>
      <c r="M235" s="5" t="s">
        <v>733</v>
      </c>
      <c r="N235" s="5">
        <v>46239</v>
      </c>
      <c r="O235" s="6">
        <f t="shared" si="14"/>
        <v>0.20167220579383979</v>
      </c>
      <c r="P235" s="5" t="s">
        <v>338</v>
      </c>
      <c r="Q235" s="5">
        <v>44822</v>
      </c>
      <c r="R235" s="6">
        <f t="shared" si="12"/>
        <v>0.19549193555421801</v>
      </c>
      <c r="S235" t="s">
        <v>18</v>
      </c>
      <c r="T235" s="5" t="s">
        <v>323</v>
      </c>
      <c r="U235" t="str">
        <f>IF(COUNTIF(A:A, A235)&gt;=3, "Yes", "No")</f>
        <v>No</v>
      </c>
    </row>
  </sheetData>
  <autoFilter ref="A1:Y235" xr:uid="{00000000-0001-0000-0000-000000000000}">
    <sortState xmlns:xlrd2="http://schemas.microsoft.com/office/spreadsheetml/2017/richdata2" ref="A2:U235">
      <sortCondition ref="T1:T2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Kenil Dhola</cp:lastModifiedBy>
  <dcterms:created xsi:type="dcterms:W3CDTF">2015-06-05T18:17:20Z</dcterms:created>
  <dcterms:modified xsi:type="dcterms:W3CDTF">2024-09-11T12:04:01Z</dcterms:modified>
</cp:coreProperties>
</file>